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8_{452D635B-F4F8-41B8-AEEB-6FC414BD248A}" xr6:coauthVersionLast="47" xr6:coauthVersionMax="47" xr10:uidLastSave="{00000000-0000-0000-0000-000000000000}"/>
  <bookViews>
    <workbookView xWindow="-120" yWindow="-120" windowWidth="29040" windowHeight="15720" firstSheet="2" activeTab="4" xr2:uid="{00000000-000D-0000-FFFF-FFFF00000000}"/>
  </bookViews>
  <sheets>
    <sheet name="Raw Data" sheetId="1" r:id="rId1"/>
    <sheet name="Calculations" sheetId="2" r:id="rId2"/>
    <sheet name="Chart Data" sheetId="3" r:id="rId3"/>
    <sheet name="Dashboard" sheetId="4" r:id="rId4"/>
    <sheet name="Executive Summary" sheetId="5" r:id="rId5"/>
    <sheet name="Sourc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3" l="1"/>
  <c r="M14" i="3"/>
  <c r="J14" i="3"/>
  <c r="H14" i="3"/>
  <c r="G14" i="3"/>
  <c r="E14" i="3"/>
  <c r="D14" i="3"/>
  <c r="B14" i="3"/>
  <c r="A14" i="3"/>
  <c r="M13" i="3"/>
  <c r="J13" i="3"/>
  <c r="H13" i="3"/>
  <c r="G13" i="3"/>
  <c r="E13" i="3"/>
  <c r="D13" i="3"/>
  <c r="B13" i="3"/>
  <c r="A13" i="3"/>
  <c r="M12" i="3"/>
  <c r="J12" i="3"/>
  <c r="H12" i="3"/>
  <c r="G12" i="3"/>
  <c r="E12" i="3"/>
  <c r="D12" i="3"/>
  <c r="B12" i="3"/>
  <c r="A12" i="3"/>
  <c r="M11" i="3"/>
  <c r="J11" i="3"/>
  <c r="H11" i="3"/>
  <c r="G11" i="3"/>
  <c r="E11" i="3"/>
  <c r="D11" i="3"/>
  <c r="B11" i="3"/>
  <c r="A11" i="3"/>
  <c r="N10" i="3"/>
  <c r="M10" i="3"/>
  <c r="K10" i="3"/>
  <c r="J10" i="3"/>
  <c r="H10" i="3"/>
  <c r="G10" i="3"/>
  <c r="E10" i="3"/>
  <c r="D10" i="3"/>
  <c r="B10" i="3"/>
  <c r="A10" i="3"/>
  <c r="N9" i="3"/>
  <c r="M9" i="3"/>
  <c r="J9" i="3"/>
  <c r="H9" i="3"/>
  <c r="G9" i="3"/>
  <c r="E9" i="3"/>
  <c r="D9" i="3"/>
  <c r="B9" i="3"/>
  <c r="A9" i="3"/>
  <c r="N8" i="3"/>
  <c r="M8" i="3"/>
  <c r="K8" i="3"/>
  <c r="J8" i="3"/>
  <c r="H8" i="3"/>
  <c r="G8" i="3"/>
  <c r="E8" i="3"/>
  <c r="D8" i="3"/>
  <c r="B8" i="3"/>
  <c r="A8" i="3"/>
  <c r="M7" i="3"/>
  <c r="J7" i="3"/>
  <c r="H7" i="3"/>
  <c r="G7" i="3"/>
  <c r="E7" i="3"/>
  <c r="D7" i="3"/>
  <c r="B7" i="3"/>
  <c r="A7" i="3"/>
  <c r="N6" i="3"/>
  <c r="M6" i="3"/>
  <c r="J6" i="3"/>
  <c r="H6" i="3"/>
  <c r="G6" i="3"/>
  <c r="E6" i="3"/>
  <c r="D6" i="3"/>
  <c r="B6" i="3"/>
  <c r="A6" i="3"/>
  <c r="M5" i="3"/>
  <c r="J5" i="3"/>
  <c r="H5" i="3"/>
  <c r="G5" i="3"/>
  <c r="E5" i="3"/>
  <c r="D5" i="3"/>
  <c r="B5" i="3"/>
  <c r="A5" i="3"/>
  <c r="B6" i="2"/>
  <c r="B5" i="2"/>
  <c r="B4" i="2"/>
  <c r="B3" i="2"/>
  <c r="B2" i="2"/>
  <c r="L11" i="1"/>
  <c r="K11" i="1"/>
  <c r="K14" i="3" s="1"/>
  <c r="L10" i="1"/>
  <c r="N13" i="3" s="1"/>
  <c r="K10" i="1"/>
  <c r="K13" i="3" s="1"/>
  <c r="L9" i="1"/>
  <c r="N12" i="3" s="1"/>
  <c r="K9" i="1"/>
  <c r="K12" i="3" s="1"/>
  <c r="L8" i="1"/>
  <c r="N11" i="3" s="1"/>
  <c r="K8" i="1"/>
  <c r="K11" i="3" s="1"/>
  <c r="L7" i="1"/>
  <c r="K7" i="1"/>
  <c r="L6" i="1"/>
  <c r="K6" i="1"/>
  <c r="K9" i="3" s="1"/>
  <c r="L5" i="1"/>
  <c r="K5" i="1"/>
  <c r="L4" i="1"/>
  <c r="N7" i="3" s="1"/>
  <c r="K4" i="1"/>
  <c r="K7" i="3" s="1"/>
  <c r="L3" i="1"/>
  <c r="K3" i="1"/>
  <c r="K6" i="3" s="1"/>
  <c r="L2" i="1"/>
  <c r="N5" i="3" s="1"/>
  <c r="K2" i="1"/>
  <c r="K5" i="3" s="1"/>
</calcChain>
</file>

<file path=xl/sharedStrings.xml><?xml version="1.0" encoding="utf-8"?>
<sst xmlns="http://schemas.openxmlformats.org/spreadsheetml/2006/main" count="113" uniqueCount="81">
  <si>
    <t>Season</t>
  </si>
  <si>
    <t>Team</t>
  </si>
  <si>
    <t>Championship Position</t>
  </si>
  <si>
    <t>Constructors Points</t>
  </si>
  <si>
    <t>Wins</t>
  </si>
  <si>
    <t>Podiums</t>
  </si>
  <si>
    <t>Revenue (USD Millions)</t>
  </si>
  <si>
    <t>Team Value (USD Millions)</t>
  </si>
  <si>
    <t>Source</t>
  </si>
  <si>
    <t>Notes</t>
  </si>
  <si>
    <t>Revenue per Constructor Point (USD M)</t>
  </si>
  <si>
    <t>Points per $100M Revenue</t>
  </si>
  <si>
    <t>McLaren</t>
  </si>
  <si>
    <t>Formula1.com and StatsF1 Forbes 2025</t>
  </si>
  <si>
    <t>2025 sporting results; 2024 revenue and 2025 estimated valuation</t>
  </si>
  <si>
    <t>Mercedes</t>
  </si>
  <si>
    <t>Red Bull Racing</t>
  </si>
  <si>
    <t>Ferrari</t>
  </si>
  <si>
    <t>Williams</t>
  </si>
  <si>
    <t>Racing Bulls</t>
  </si>
  <si>
    <t>Aston Martin</t>
  </si>
  <si>
    <t>Haas F1 Team</t>
  </si>
  <si>
    <t>Kick Sauber</t>
  </si>
  <si>
    <t>Alpine</t>
  </si>
  <si>
    <t>Metric</t>
  </si>
  <si>
    <t>Result</t>
  </si>
  <si>
    <t>Total Constructors Points</t>
  </si>
  <si>
    <t>Average Points Per Team</t>
  </si>
  <si>
    <t>Highest Team Points</t>
  </si>
  <si>
    <t>Total Race Wins</t>
  </si>
  <si>
    <t>Total Podiums</t>
  </si>
  <si>
    <t>Source Name</t>
  </si>
  <si>
    <t>Website Link</t>
  </si>
  <si>
    <t>Data Collected</t>
  </si>
  <si>
    <t>Date Accessed</t>
  </si>
  <si>
    <t>Reliability Notes</t>
  </si>
  <si>
    <t>Formula 1</t>
  </si>
  <si>
    <t>https://www.formula1.com/en/results/2025/team</t>
  </si>
  <si>
    <t>Official Formula 1 source</t>
  </si>
  <si>
    <t>StatsF1</t>
  </si>
  <si>
    <t>https://www.statsf1.com/en/2025/stats-victoire.aspx</t>
  </si>
  <si>
    <t>Wins by team</t>
  </si>
  <si>
    <t>Formula 1 statistics database</t>
  </si>
  <si>
    <t>https://www.statsf1.com/en/2025/stats-podium.aspx</t>
  </si>
  <si>
    <t>Podiums by team</t>
  </si>
  <si>
    <t>Forbes — Formula 1’s Most Valuable Teams 2025 by Brett Knight</t>
  </si>
  <si>
    <t>https://www.forbes.com/sites/brettknight/2025/11/20/formula-1s-most-valuable-teams-2025/</t>
  </si>
  <si>
    <t>2024 revenue estimates and 2025 estimated team valuations for all 10 Formula 1 teams</t>
  </si>
  <si>
    <t>2024 revenue / 2025 valuations</t>
  </si>
  <si>
    <t>Forbes SportsMoney estimates from a reputable business publication; figures are estimates and are not audited official team financial statements</t>
  </si>
  <si>
    <t>Forbes Australia — From Marlboro to LVMH: How the Business of F1 Evolved Into a $21 Billion Giant</t>
  </si>
  <si>
    <t>https://www.forbes.com.au/covers/magazine/from-marlboro-to-lvmh-the-business-of-f1-has-never-been-richer/</t>
  </si>
  <si>
    <t>Verification of the Forbes SportsMoney revenue and valuation figures used in the analysis</t>
  </si>
  <si>
    <t>Forbes publication reproducing the complete Forbes SportsMoney table; used to verify the figures rather than as a separate independent estimate</t>
  </si>
  <si>
    <t>Dashboard Chart Data</t>
  </si>
  <si>
    <t>Support ranges linked to Raw Data. Edit the Raw Data sheet, not this sheet.</t>
  </si>
  <si>
    <t>Revenue per Constructor Point</t>
  </si>
  <si>
    <t>FORMULA 1 TEAM FINANCIAL PERFORMANCE DASHBOARD</t>
  </si>
  <si>
    <t>2025 sporting results | 2024 revenue estimates | 2025 estimated team valuations</t>
  </si>
  <si>
    <t>CONSTRUCTORS’ CHAMPION</t>
  </si>
  <si>
    <t>MOST RACE WINS</t>
  </si>
  <si>
    <t>HIGHEST TEAM VALUATION</t>
  </si>
  <si>
    <t>BEST REVENUE EFFICIENCY</t>
  </si>
  <si>
    <t>McLaren — 14</t>
  </si>
  <si>
    <t>Ferrari — $6.5B</t>
  </si>
  <si>
    <t>McLaren — 135.7 pts / $100M</t>
  </si>
  <si>
    <t>PERFORMANCE AND VALUATION ANALYSIS</t>
  </si>
  <si>
    <t>Interpretation note: Revenue is not the same as spending, profit, or investment. The efficiency measures compare 2024 revenue estimates with 2025 sporting results and should not be treated as profitability or ROI.</t>
  </si>
  <si>
    <t>FORMULA 1 TEAM FINANCIAL PERFORMANCE ANALYSIS</t>
  </si>
  <si>
    <t>Executive Summary</t>
  </si>
  <si>
    <t>PROJECT OBJECTIVE</t>
  </si>
  <si>
    <t>This project examines the relationship between Formula 1 teams’ financial scale and on-track performance. It compares Constructors’ Championship points, race wins, estimated team valuations, and revenue-based efficiency metrics to identify which teams achieved the strongest sporting results relative to their reported revenue.</t>
  </si>
  <si>
    <t>KEY FINDINGS</t>
  </si>
  <si>
    <t>McLaren recorded the strongest sporting performance with 833 Constructors’ points and 14 race wins. It also produced approximately 135.7 points per $100 million of revenue, the highest revenue-efficiency result in the analysis. Ferrari had the highest estimated valuation at $6.5 billion, showing that team value also reflects brand history, commercial strength, and long-term appeal.</t>
  </si>
  <si>
    <t>WEAKEST PERFORMANCE</t>
  </si>
  <si>
    <t>Alpine scored only 22 points and produced approximately 7.3 points per $100 million of revenue, the lowest result among the teams analyzed. This indicates a large gap between the team’s revenue and its 2025 sporting performance. However, the calculation does not measure profit, actual spending, or return on investment.</t>
  </si>
  <si>
    <t>CONCLUSION</t>
  </si>
  <si>
    <t>The analysis suggests that higher revenue and team valuation do not automatically lead to better racing results. McLaren achieved the strongest performance relative to revenue, while Ferrari remained the most valuable team despite finishing fourth in the Constructors’ Championship. Formula 1 performance therefore depends on how effectively teams convert financial resources, personnel, engineering, and strategy into results.</t>
  </si>
  <si>
    <t>LIMITATIONS</t>
  </si>
  <si>
    <t>The sporting results are from the 2025 season, while the revenue figures represent 2024 operations and the team valuations are 2025 estimates. Revenue is not the same as spending, cost, profit, or investment. The calculations therefore compare team revenue with racing results, but they do not show how profitable each team was or how effectively it spent its money.</t>
  </si>
  <si>
    <t>Championship position and Constructors’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</si>
</sst>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Red]\(#,##0.0\);\-"/>
    <numFmt numFmtId="165" formatCode="yyyy\-mm\-dd"/>
    <numFmt numFmtId="166" formatCode="0.00;[Red]\(0.00\);\-"/>
    <numFmt numFmtId="167" formatCode="0.0;[Red]\(0.0\);\-"/>
    <numFmt numFmtId="168" formatCode="0;[Red]\(0\);\-"/>
    <numFmt numFmtId="169" formatCode="0.0"/>
    <numFmt numFmtId="170" formatCode="mmm\ d\,\ yyyy"/>
    <numFmt numFmtId="171" formatCode="#,##0;[Red]\(#,##0\);\-"/>
  </numFmts>
  <fonts count="18" x14ac:knownFonts="1">
    <font>
      <sz val="11"/>
      <color theme="1"/>
      <name val="Calibri"/>
    </font>
    <font>
      <b/>
      <sz val="11"/>
      <color rgb="FFFFFFFF"/>
      <name val="Calibri"/>
      <family val="2"/>
    </font>
    <font>
      <sz val="11"/>
      <color theme="10"/>
      <name val="Calibri"/>
      <family val="2"/>
    </font>
    <font>
      <sz val="10"/>
      <color rgb="FF1F2937"/>
      <name val="Aptos"/>
      <family val="2"/>
    </font>
    <font>
      <b/>
      <sz val="10"/>
      <color rgb="FFFFFFFF"/>
      <name val="Aptos Display"/>
      <family val="2"/>
    </font>
    <font>
      <sz val="10"/>
      <color rgb="FF0000FF"/>
      <name val="Aptos"/>
      <family val="2"/>
    </font>
    <font>
      <sz val="10"/>
      <color rgb="FF000000"/>
      <name val="Aptos"/>
      <family val="2"/>
    </font>
    <font>
      <b/>
      <sz val="14"/>
      <color rgb="FFFFFFFF"/>
      <name val="Aptos Display"/>
      <family val="2"/>
    </font>
    <font>
      <i/>
      <sz val="10"/>
      <color rgb="FF5B6573"/>
      <name val="Aptos"/>
      <family val="2"/>
    </font>
    <font>
      <sz val="10"/>
      <color rgb="FF008000"/>
      <name val="Aptos"/>
      <family val="2"/>
    </font>
    <font>
      <b/>
      <sz val="20"/>
      <color rgb="FFFFFFFF"/>
      <name val="Aptos Display"/>
      <family val="2"/>
    </font>
    <font>
      <b/>
      <sz val="10"/>
      <color rgb="FFFFFFFF"/>
      <name val="Aptos"/>
      <family val="2"/>
    </font>
    <font>
      <b/>
      <sz val="16"/>
      <color rgb="FF1F2937"/>
      <name val="Aptos Display"/>
      <family val="2"/>
    </font>
    <font>
      <b/>
      <sz val="11"/>
      <color rgb="FFFFFFFF"/>
      <name val="Aptos"/>
      <family val="2"/>
    </font>
    <font>
      <i/>
      <sz val="9"/>
      <color rgb="FF7A4E00"/>
      <name val="Aptos"/>
      <family val="2"/>
    </font>
    <font>
      <sz val="11"/>
      <color rgb="FF1F2937"/>
      <name val="Aptos"/>
      <family val="2"/>
    </font>
    <font>
      <b/>
      <sz val="11"/>
      <color rgb="FF1F2937"/>
      <name val="Aptos"/>
      <family val="2"/>
    </font>
    <font>
      <b/>
      <sz val="14"/>
      <color rgb="FF000000"/>
      <name val="Aptos Display"/>
      <family val="2"/>
    </font>
  </fonts>
  <fills count="15">
    <fill>
      <patternFill patternType="none"/>
    </fill>
    <fill>
      <patternFill patternType="gray125"/>
    </fill>
    <fill>
      <patternFill patternType="solid">
        <fgColor rgb="FF0B1F3A"/>
      </patternFill>
    </fill>
    <fill>
      <patternFill patternType="solid">
        <fgColor rgb="FFFFFFFF"/>
      </patternFill>
    </fill>
    <fill>
      <patternFill patternType="solid">
        <fgColor rgb="FFE9EEF4"/>
      </patternFill>
    </fill>
    <fill>
      <patternFill patternType="solid">
        <fgColor rgb="FF163A63"/>
      </patternFill>
    </fill>
    <fill>
      <patternFill patternType="solid">
        <fgColor rgb="FFF4F6F8"/>
      </patternFill>
    </fill>
    <fill>
      <patternFill patternType="solid">
        <fgColor rgb="FFE10600"/>
      </patternFill>
    </fill>
    <fill>
      <patternFill patternType="solid">
        <fgColor rgb="FFEAF2FB"/>
      </patternFill>
    </fill>
    <fill>
      <patternFill patternType="solid">
        <fgColor rgb="FFFDECEC"/>
      </patternFill>
    </fill>
    <fill>
      <patternFill patternType="solid">
        <fgColor rgb="FF9A6700"/>
      </patternFill>
    </fill>
    <fill>
      <patternFill patternType="solid">
        <fgColor rgb="FFFFF4D6"/>
      </patternFill>
    </fill>
    <fill>
      <patternFill patternType="solid">
        <fgColor rgb="FF1B5E20"/>
      </patternFill>
    </fill>
    <fill>
      <patternFill patternType="solid">
        <fgColor rgb="FFE8F5E9"/>
      </patternFill>
    </fill>
    <fill>
      <patternFill patternType="solid">
        <fgColor rgb="FFFFF7E6"/>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8">
    <xf numFmtId="0" fontId="0" fillId="0" borderId="0" xfId="0"/>
    <xf numFmtId="1" fontId="0" fillId="0" borderId="0" xfId="0" applyNumberFormat="1"/>
    <xf numFmtId="164" fontId="0" fillId="0" borderId="0" xfId="0" applyNumberFormat="1"/>
    <xf numFmtId="165" fontId="0" fillId="0" borderId="0" xfId="0" applyNumberFormat="1"/>
    <xf numFmtId="0" fontId="4" fillId="2" borderId="0" xfId="0" applyFont="1" applyFill="1" applyAlignment="1">
      <alignment horizontal="center" vertical="center" wrapText="1"/>
    </xf>
    <xf numFmtId="1" fontId="5" fillId="0" borderId="0" xfId="0" applyNumberFormat="1" applyFont="1" applyAlignment="1">
      <alignment vertical="center"/>
    </xf>
    <xf numFmtId="164" fontId="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vertical="center" wrapText="1"/>
    </xf>
    <xf numFmtId="166" fontId="6" fillId="0" borderId="0" xfId="0" applyNumberFormat="1" applyFont="1" applyAlignment="1">
      <alignment vertical="center"/>
    </xf>
    <xf numFmtId="167" fontId="6" fillId="0" borderId="0" xfId="0" applyNumberFormat="1" applyFont="1" applyAlignment="1">
      <alignment vertical="center"/>
    </xf>
    <xf numFmtId="168" fontId="5" fillId="0" borderId="0" xfId="0" applyNumberFormat="1" applyFont="1" applyAlignment="1">
      <alignment vertical="center"/>
    </xf>
    <xf numFmtId="0" fontId="0" fillId="3" borderId="0" xfId="0" applyFill="1"/>
    <xf numFmtId="0" fontId="1" fillId="5" borderId="0" xfId="0" applyFont="1" applyFill="1" applyAlignment="1">
      <alignment horizontal="center" vertical="center" wrapText="1"/>
    </xf>
    <xf numFmtId="0" fontId="9" fillId="3" borderId="0" xfId="0" applyFont="1" applyFill="1"/>
    <xf numFmtId="1" fontId="9" fillId="3" borderId="0" xfId="0" applyNumberFormat="1" applyFont="1" applyFill="1"/>
    <xf numFmtId="3" fontId="9" fillId="3" borderId="0" xfId="0" applyNumberFormat="1" applyFont="1" applyFill="1"/>
    <xf numFmtId="2" fontId="9" fillId="3" borderId="0" xfId="0" applyNumberFormat="1" applyFont="1" applyFill="1"/>
    <xf numFmtId="169" fontId="9" fillId="3" borderId="0" xfId="0" applyNumberFormat="1" applyFont="1" applyFill="1"/>
    <xf numFmtId="0" fontId="3" fillId="6" borderId="0" xfId="0" applyFont="1" applyFill="1"/>
    <xf numFmtId="0" fontId="3" fillId="6" borderId="1" xfId="0" applyFont="1" applyFill="1" applyBorder="1"/>
    <xf numFmtId="1" fontId="3" fillId="6" borderId="1" xfId="0" applyNumberFormat="1" applyFont="1" applyFill="1" applyBorder="1"/>
    <xf numFmtId="0" fontId="3" fillId="6" borderId="3" xfId="0" applyFont="1" applyFill="1" applyBorder="1"/>
    <xf numFmtId="164" fontId="3" fillId="6" borderId="1" xfId="0" applyNumberFormat="1" applyFont="1" applyFill="1" applyBorder="1"/>
    <xf numFmtId="2" fontId="3" fillId="6" borderId="2" xfId="0" applyNumberFormat="1" applyFont="1" applyFill="1" applyBorder="1"/>
    <xf numFmtId="1" fontId="3" fillId="6" borderId="3" xfId="0" applyNumberFormat="1" applyFont="1" applyFill="1" applyBorder="1"/>
    <xf numFmtId="0" fontId="11" fillId="2" borderId="0" xfId="0" applyFont="1" applyFill="1" applyAlignment="1">
      <alignment horizontal="center" vertical="center" wrapText="1"/>
    </xf>
    <xf numFmtId="0" fontId="3" fillId="0" borderId="0" xfId="0" applyFont="1" applyAlignment="1">
      <alignment vertical="top" wrapText="1"/>
    </xf>
    <xf numFmtId="1" fontId="3" fillId="0" borderId="0" xfId="0" applyNumberFormat="1" applyFont="1" applyAlignment="1">
      <alignment vertical="top" wrapText="1"/>
    </xf>
    <xf numFmtId="170" fontId="3" fillId="0" borderId="0" xfId="0" applyNumberFormat="1" applyFont="1" applyAlignment="1">
      <alignment vertical="top" wrapText="1"/>
    </xf>
    <xf numFmtId="0" fontId="13" fillId="2" borderId="0" xfId="0" applyFont="1" applyFill="1" applyAlignment="1">
      <alignment horizontal="center"/>
    </xf>
    <xf numFmtId="0" fontId="16" fillId="4" borderId="0" xfId="0" applyFont="1" applyFill="1"/>
    <xf numFmtId="171" fontId="17" fillId="3" borderId="0" xfId="0" applyNumberFormat="1" applyFont="1" applyFill="1"/>
    <xf numFmtId="0" fontId="7" fillId="2" borderId="0" xfId="0" applyFont="1" applyFill="1" applyAlignment="1">
      <alignment horizontal="left" vertical="center"/>
    </xf>
    <xf numFmtId="0" fontId="8" fillId="4" borderId="0" xfId="0" applyFont="1" applyFill="1"/>
    <xf numFmtId="0" fontId="10" fillId="2" borderId="0" xfId="0" applyFont="1" applyFill="1" applyAlignment="1">
      <alignment horizontal="center" vertical="center"/>
    </xf>
    <xf numFmtId="0" fontId="10" fillId="2" borderId="1" xfId="0" applyFont="1" applyFill="1" applyBorder="1" applyAlignment="1">
      <alignment horizontal="center" vertical="center"/>
    </xf>
    <xf numFmtId="1" fontId="10" fillId="2" borderId="1" xfId="0" applyNumberFormat="1" applyFont="1" applyFill="1" applyBorder="1" applyAlignment="1">
      <alignment horizontal="center" vertical="center"/>
    </xf>
    <xf numFmtId="0" fontId="10" fillId="2" borderId="3" xfId="0" applyFont="1" applyFill="1" applyBorder="1" applyAlignment="1">
      <alignment horizontal="center" vertical="center"/>
    </xf>
    <xf numFmtId="164" fontId="10" fillId="2" borderId="1" xfId="0" applyNumberFormat="1" applyFont="1" applyFill="1" applyBorder="1" applyAlignment="1">
      <alignment horizontal="center" vertical="center"/>
    </xf>
    <xf numFmtId="2" fontId="10" fillId="2" borderId="2" xfId="0" applyNumberFormat="1" applyFont="1" applyFill="1" applyBorder="1" applyAlignment="1">
      <alignment horizontal="center" vertical="center"/>
    </xf>
    <xf numFmtId="0" fontId="11" fillId="7" borderId="1" xfId="0" applyFont="1" applyFill="1" applyBorder="1" applyAlignment="1">
      <alignment horizontal="center" vertical="center"/>
    </xf>
    <xf numFmtId="1" fontId="11" fillId="7" borderId="1" xfId="0" applyNumberFormat="1" applyFont="1" applyFill="1" applyBorder="1" applyAlignment="1">
      <alignment horizontal="center" vertical="center"/>
    </xf>
    <xf numFmtId="0" fontId="11" fillId="7" borderId="0" xfId="0" applyFont="1" applyFill="1" applyAlignment="1">
      <alignment horizontal="center" vertical="center"/>
    </xf>
    <xf numFmtId="0" fontId="11" fillId="7" borderId="3" xfId="0" applyFont="1" applyFill="1" applyBorder="1" applyAlignment="1">
      <alignment horizontal="center" vertical="center"/>
    </xf>
    <xf numFmtId="1" fontId="11" fillId="7" borderId="3" xfId="0" applyNumberFormat="1" applyFont="1" applyFill="1" applyBorder="1" applyAlignment="1">
      <alignment horizontal="center" vertical="center"/>
    </xf>
    <xf numFmtId="164" fontId="11" fillId="7" borderId="1" xfId="0" applyNumberFormat="1" applyFont="1" applyFill="1" applyBorder="1" applyAlignment="1">
      <alignment horizontal="center" vertical="center"/>
    </xf>
    <xf numFmtId="2" fontId="11" fillId="7" borderId="2" xfId="0" applyNumberFormat="1" applyFont="1" applyFill="1" applyBorder="1" applyAlignment="1">
      <alignment horizontal="center" vertical="center"/>
    </xf>
    <xf numFmtId="0" fontId="11" fillId="2" borderId="1" xfId="0" applyFont="1" applyFill="1" applyBorder="1" applyAlignment="1">
      <alignment horizontal="center" vertical="center"/>
    </xf>
    <xf numFmtId="1" fontId="11" fillId="2" borderId="1" xfId="0" applyNumberFormat="1" applyFont="1" applyFill="1" applyBorder="1" applyAlignment="1">
      <alignment horizontal="center" vertical="center"/>
    </xf>
    <xf numFmtId="0" fontId="11" fillId="2" borderId="0" xfId="0" applyFont="1" applyFill="1" applyAlignment="1">
      <alignment horizontal="center" vertical="center"/>
    </xf>
    <xf numFmtId="0" fontId="12" fillId="8" borderId="1" xfId="0" applyFont="1" applyFill="1" applyBorder="1" applyAlignment="1">
      <alignment horizontal="center" vertical="center" wrapText="1"/>
    </xf>
    <xf numFmtId="1" fontId="12" fillId="8" borderId="1" xfId="0" applyNumberFormat="1" applyFont="1" applyFill="1" applyBorder="1" applyAlignment="1">
      <alignment horizontal="center" vertical="center" wrapText="1"/>
    </xf>
    <xf numFmtId="0" fontId="12" fillId="8" borderId="0" xfId="0" applyFont="1" applyFill="1" applyAlignment="1">
      <alignment horizontal="center" vertical="center" wrapText="1"/>
    </xf>
    <xf numFmtId="1" fontId="12" fillId="9" borderId="1" xfId="0" applyNumberFormat="1" applyFont="1" applyFill="1" applyBorder="1" applyAlignment="1">
      <alignment horizontal="center" vertical="center" wrapText="1"/>
    </xf>
    <xf numFmtId="0" fontId="12" fillId="9" borderId="0" xfId="0" applyFont="1" applyFill="1" applyAlignment="1">
      <alignment horizontal="center" vertical="center" wrapText="1"/>
    </xf>
    <xf numFmtId="0" fontId="12" fillId="9" borderId="3" xfId="0" applyFont="1" applyFill="1" applyBorder="1" applyAlignment="1">
      <alignment horizontal="center" vertical="center" wrapText="1"/>
    </xf>
    <xf numFmtId="1" fontId="12" fillId="9" borderId="3" xfId="0" applyNumberFormat="1" applyFont="1" applyFill="1" applyBorder="1" applyAlignment="1">
      <alignment horizontal="center" vertical="center" wrapText="1"/>
    </xf>
    <xf numFmtId="0" fontId="11" fillId="10" borderId="0" xfId="0" applyFont="1" applyFill="1" applyAlignment="1">
      <alignment horizontal="center" vertical="center"/>
    </xf>
    <xf numFmtId="0" fontId="11" fillId="10" borderId="1" xfId="0" applyFont="1" applyFill="1" applyBorder="1" applyAlignment="1">
      <alignment horizontal="center" vertical="center"/>
    </xf>
    <xf numFmtId="164" fontId="11" fillId="10" borderId="1" xfId="0" applyNumberFormat="1" applyFont="1" applyFill="1" applyBorder="1" applyAlignment="1">
      <alignment horizontal="center" vertical="center"/>
    </xf>
    <xf numFmtId="0" fontId="12" fillId="11" borderId="0" xfId="0" applyFont="1" applyFill="1" applyAlignment="1">
      <alignment horizontal="center" vertical="center" wrapText="1"/>
    </xf>
    <xf numFmtId="0" fontId="12" fillId="11" borderId="1" xfId="0" applyFont="1" applyFill="1" applyBorder="1" applyAlignment="1">
      <alignment horizontal="center" vertical="center" wrapText="1"/>
    </xf>
    <xf numFmtId="164" fontId="12" fillId="11" borderId="1" xfId="0" applyNumberFormat="1" applyFont="1" applyFill="1" applyBorder="1" applyAlignment="1">
      <alignment horizontal="center" vertical="center" wrapText="1"/>
    </xf>
    <xf numFmtId="0" fontId="11" fillId="12" borderId="1" xfId="0" applyFont="1" applyFill="1" applyBorder="1" applyAlignment="1">
      <alignment horizontal="center" vertical="center"/>
    </xf>
    <xf numFmtId="2" fontId="11" fillId="12" borderId="2" xfId="0" applyNumberFormat="1" applyFont="1" applyFill="1" applyBorder="1" applyAlignment="1">
      <alignment horizontal="center" vertical="center"/>
    </xf>
    <xf numFmtId="0" fontId="11" fillId="12" borderId="0" xfId="0" applyFont="1" applyFill="1" applyAlignment="1">
      <alignment horizontal="center" vertical="center"/>
    </xf>
    <xf numFmtId="0" fontId="12" fillId="13" borderId="1" xfId="0" applyFont="1" applyFill="1" applyBorder="1" applyAlignment="1">
      <alignment horizontal="center" vertical="center" wrapText="1"/>
    </xf>
    <xf numFmtId="2" fontId="12" fillId="13" borderId="2" xfId="0" applyNumberFormat="1" applyFont="1" applyFill="1" applyBorder="1" applyAlignment="1">
      <alignment horizontal="center" vertical="center" wrapText="1"/>
    </xf>
    <xf numFmtId="0" fontId="12" fillId="13" borderId="0" xfId="0" applyFont="1" applyFill="1" applyAlignment="1">
      <alignment horizontal="center" vertical="center" wrapText="1"/>
    </xf>
    <xf numFmtId="0" fontId="13" fillId="5" borderId="1" xfId="0" applyFont="1" applyFill="1" applyBorder="1" applyAlignment="1">
      <alignment horizontal="left" vertical="center"/>
    </xf>
    <xf numFmtId="1" fontId="13" fillId="5" borderId="1" xfId="0" applyNumberFormat="1" applyFont="1" applyFill="1" applyBorder="1" applyAlignment="1">
      <alignment horizontal="left" vertical="center"/>
    </xf>
    <xf numFmtId="0" fontId="13" fillId="5" borderId="0" xfId="0" applyFont="1" applyFill="1" applyAlignment="1">
      <alignment horizontal="left" vertical="center"/>
    </xf>
    <xf numFmtId="164" fontId="13" fillId="5" borderId="1" xfId="0" applyNumberFormat="1" applyFont="1" applyFill="1" applyBorder="1" applyAlignment="1">
      <alignment horizontal="left" vertical="center"/>
    </xf>
    <xf numFmtId="2" fontId="13" fillId="5" borderId="2" xfId="0" applyNumberFormat="1" applyFont="1" applyFill="1" applyBorder="1" applyAlignment="1">
      <alignment horizontal="left" vertical="center"/>
    </xf>
    <xf numFmtId="0" fontId="14" fillId="14" borderId="0" xfId="0" applyFont="1" applyFill="1" applyAlignment="1">
      <alignment horizontal="left" vertical="center" wrapText="1"/>
    </xf>
    <xf numFmtId="0" fontId="13" fillId="7" borderId="0" xfId="0" applyFont="1" applyFill="1" applyAlignment="1">
      <alignment horizontal="center"/>
    </xf>
    <xf numFmtId="0" fontId="15" fillId="6" borderId="0" xfId="0" applyFont="1" applyFill="1" applyAlignment="1">
      <alignment horizontal="left" vertical="top"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CA" sz="1400" b="0" i="0" u="none">
                <a:solidFill>
                  <a:schemeClr val="tx1">
                    <a:lumMod val="65000"/>
                    <a:lumOff val="35000"/>
                  </a:schemeClr>
                </a:solidFill>
                <a:latin typeface="+mn-lt"/>
                <a:ea typeface="+mn-lt"/>
                <a:cs typeface="+mn-lt"/>
              </a:rPr>
              <a:t>2025 Constructors’ Points by Team</a:t>
            </a:r>
          </a:p>
        </c:rich>
      </c:tx>
      <c:overlay val="0"/>
    </c:title>
    <c:autoTitleDeleted val="0"/>
    <c:plotArea>
      <c:layout/>
      <c:barChart>
        <c:barDir val="bar"/>
        <c:grouping val="clustered"/>
        <c:varyColors val="0"/>
        <c:ser>
          <c:idx val="0"/>
          <c:order val="0"/>
          <c:tx>
            <c:strRef>
              <c:f>Dashboard!$B$1</c:f>
              <c:strCache>
                <c:ptCount val="1"/>
              </c:strCache>
            </c:strRef>
          </c:tx>
          <c:spPr>
            <a:solidFill>
              <a:srgbClr val="ED7D31"/>
            </a:solidFill>
            <a:ln>
              <a:noFill/>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Data'!$A$5:$A$14</c:f>
              <c:strCache>
                <c:ptCount val="10"/>
                <c:pt idx="0">
                  <c:v>McLaren</c:v>
                </c:pt>
                <c:pt idx="1">
                  <c:v>Mercedes</c:v>
                </c:pt>
                <c:pt idx="2">
                  <c:v>Red Bull Racing</c:v>
                </c:pt>
                <c:pt idx="3">
                  <c:v>Ferrari</c:v>
                </c:pt>
                <c:pt idx="4">
                  <c:v>Williams</c:v>
                </c:pt>
                <c:pt idx="5">
                  <c:v>Racing Bulls</c:v>
                </c:pt>
                <c:pt idx="6">
                  <c:v>Aston Martin</c:v>
                </c:pt>
                <c:pt idx="7">
                  <c:v>Haas F1 Team</c:v>
                </c:pt>
                <c:pt idx="8">
                  <c:v>Kick Sauber</c:v>
                </c:pt>
                <c:pt idx="9">
                  <c:v>Alpine</c:v>
                </c:pt>
              </c:strCache>
            </c:strRef>
          </c:cat>
          <c:val>
            <c:numRef>
              <c:f>'Chart Data'!$B$5:$B$14</c:f>
              <c:numCache>
                <c:formatCode>0</c:formatCode>
                <c:ptCount val="10"/>
                <c:pt idx="0">
                  <c:v>833</c:v>
                </c:pt>
                <c:pt idx="1">
                  <c:v>469</c:v>
                </c:pt>
                <c:pt idx="2">
                  <c:v>451</c:v>
                </c:pt>
                <c:pt idx="3">
                  <c:v>398</c:v>
                </c:pt>
                <c:pt idx="4">
                  <c:v>137</c:v>
                </c:pt>
                <c:pt idx="5">
                  <c:v>92</c:v>
                </c:pt>
                <c:pt idx="6">
                  <c:v>89</c:v>
                </c:pt>
                <c:pt idx="7">
                  <c:v>79</c:v>
                </c:pt>
                <c:pt idx="8">
                  <c:v>70</c:v>
                </c:pt>
                <c:pt idx="9">
                  <c:v>22</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DFFC-4164-821F-4A4EAFFF5639}"/>
            </c:ext>
          </c:extLst>
        </c:ser>
        <c:dLbls>
          <c:dLblPos val="outEnd"/>
          <c:showLegendKey val="0"/>
          <c:showVal val="1"/>
          <c:showCatName val="0"/>
          <c:showSerName val="0"/>
          <c:showPercent val="0"/>
          <c:showBubbleSize val="0"/>
        </c:dLbls>
        <c:gapWidth val="219"/>
        <c:axId val="48650112"/>
        <c:axId val="48672768"/>
      </c:barChart>
      <c:catAx>
        <c:axId val="48650112"/>
        <c:scaling>
          <c:orientation val="maxMin"/>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ajorGridlines>
          <c:spPr>
            <a:ln w="9525" cmpd="sng">
              <a:solidFill>
                <a:schemeClr val="tx1">
                  <a:lumMod val="15000"/>
                  <a:lumOff val="85000"/>
                </a:schemeClr>
              </a:soli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CA" sz="1400" b="0" i="0" u="none">
                <a:solidFill>
                  <a:schemeClr val="tx1">
                    <a:lumMod val="65000"/>
                    <a:lumOff val="35000"/>
                  </a:schemeClr>
                </a:solidFill>
                <a:latin typeface="+mn-lt"/>
                <a:ea typeface="+mn-lt"/>
                <a:cs typeface="+mn-lt"/>
              </a:rPr>
              <a:t>2025 Race Wins by Team</a:t>
            </a:r>
          </a:p>
        </c:rich>
      </c:tx>
      <c:overlay val="0"/>
    </c:title>
    <c:autoTitleDeleted val="0"/>
    <c:plotArea>
      <c:layout/>
      <c:barChart>
        <c:barDir val="bar"/>
        <c:grouping val="clustered"/>
        <c:varyColors val="0"/>
        <c:ser>
          <c:idx val="0"/>
          <c:order val="0"/>
          <c:tx>
            <c:strRef>
              <c:f>Dashboard!$E$1</c:f>
              <c:strCache>
                <c:ptCount val="1"/>
              </c:strCache>
            </c:strRef>
          </c:tx>
          <c:spPr>
            <a:solidFill>
              <a:srgbClr val="4472C4"/>
            </a:solidFill>
            <a:ln>
              <a:noFill/>
            </a:ln>
          </c:spPr>
          <c:invertIfNegative val="1"/>
          <c:cat>
            <c:strRef>
              <c:f>'Chart Data'!$D$5:$D$14</c:f>
              <c:strCache>
                <c:ptCount val="10"/>
                <c:pt idx="0">
                  <c:v>McLaren</c:v>
                </c:pt>
                <c:pt idx="1">
                  <c:v>Mercedes</c:v>
                </c:pt>
                <c:pt idx="2">
                  <c:v>Red Bull Racing</c:v>
                </c:pt>
                <c:pt idx="3">
                  <c:v>Ferrari</c:v>
                </c:pt>
                <c:pt idx="4">
                  <c:v>Williams</c:v>
                </c:pt>
                <c:pt idx="5">
                  <c:v>Racing Bulls</c:v>
                </c:pt>
                <c:pt idx="6">
                  <c:v>Aston Martin</c:v>
                </c:pt>
                <c:pt idx="7">
                  <c:v>Haas F1 Team</c:v>
                </c:pt>
                <c:pt idx="8">
                  <c:v>Kick Sauber</c:v>
                </c:pt>
                <c:pt idx="9">
                  <c:v>Alpine</c:v>
                </c:pt>
              </c:strCache>
            </c:strRef>
          </c:cat>
          <c:val>
            <c:numRef>
              <c:f>'Chart Data'!$E$5:$E$14</c:f>
              <c:numCache>
                <c:formatCode>0</c:formatCode>
                <c:ptCount val="10"/>
                <c:pt idx="0">
                  <c:v>14</c:v>
                </c:pt>
                <c:pt idx="1">
                  <c:v>2</c:v>
                </c:pt>
                <c:pt idx="2">
                  <c:v>8</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D294-42FC-958D-7CCE217493E1}"/>
            </c:ext>
          </c:extLst>
        </c:ser>
        <c:dLbls>
          <c:showLegendKey val="0"/>
          <c:showVal val="0"/>
          <c:showCatName val="0"/>
          <c:showSerName val="0"/>
          <c:showPercent val="0"/>
          <c:showBubbleSize val="0"/>
        </c:dLbls>
        <c:gapWidth val="219"/>
        <c:axId val="48650112"/>
        <c:axId val="48672768"/>
      </c:barChart>
      <c:catAx>
        <c:axId val="48650112"/>
        <c:scaling>
          <c:orientation val="maxMin"/>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ajorGridlines>
          <c:spPr>
            <a:ln w="9525" cmpd="sng">
              <a:solidFill>
                <a:schemeClr val="tx1">
                  <a:lumMod val="15000"/>
                  <a:lumOff val="85000"/>
                </a:schemeClr>
              </a:soli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CA" sz="1400" b="0" i="0" u="none">
                <a:solidFill>
                  <a:schemeClr val="tx1">
                    <a:lumMod val="65000"/>
                    <a:lumOff val="35000"/>
                  </a:schemeClr>
                </a:solidFill>
                <a:latin typeface="+mn-lt"/>
                <a:ea typeface="+mn-lt"/>
                <a:cs typeface="+mn-lt"/>
              </a:rPr>
              <a:t>Estimated 2025 Team Valuations ($M)</a:t>
            </a:r>
          </a:p>
        </c:rich>
      </c:tx>
      <c:overlay val="0"/>
    </c:title>
    <c:autoTitleDeleted val="0"/>
    <c:plotArea>
      <c:layout/>
      <c:barChart>
        <c:barDir val="bar"/>
        <c:grouping val="clustered"/>
        <c:varyColors val="0"/>
        <c:ser>
          <c:idx val="0"/>
          <c:order val="0"/>
          <c:tx>
            <c:strRef>
              <c:f>Dashboard!$K$1</c:f>
              <c:strCache>
                <c:ptCount val="1"/>
              </c:strCache>
            </c:strRef>
          </c:tx>
          <c:spPr>
            <a:solidFill>
              <a:srgbClr val="4472C4"/>
            </a:solidFill>
            <a:ln>
              <a:noFill/>
            </a:ln>
          </c:spPr>
          <c:invertIfNegative val="1"/>
          <c:cat>
            <c:strRef>
              <c:f>'Chart Data'!$G$5:$G$14</c:f>
              <c:strCache>
                <c:ptCount val="10"/>
                <c:pt idx="0">
                  <c:v>McLaren</c:v>
                </c:pt>
                <c:pt idx="1">
                  <c:v>Mercedes</c:v>
                </c:pt>
                <c:pt idx="2">
                  <c:v>Red Bull Racing</c:v>
                </c:pt>
                <c:pt idx="3">
                  <c:v>Ferrari</c:v>
                </c:pt>
                <c:pt idx="4">
                  <c:v>Williams</c:v>
                </c:pt>
                <c:pt idx="5">
                  <c:v>Racing Bulls</c:v>
                </c:pt>
                <c:pt idx="6">
                  <c:v>Aston Martin</c:v>
                </c:pt>
                <c:pt idx="7">
                  <c:v>Haas F1 Team</c:v>
                </c:pt>
                <c:pt idx="8">
                  <c:v>Kick Sauber</c:v>
                </c:pt>
                <c:pt idx="9">
                  <c:v>Alpine</c:v>
                </c:pt>
              </c:strCache>
            </c:strRef>
          </c:cat>
          <c:val>
            <c:numRef>
              <c:f>'Chart Data'!$H$5:$H$14</c:f>
              <c:numCache>
                <c:formatCode>#,##0</c:formatCode>
                <c:ptCount val="10"/>
                <c:pt idx="0">
                  <c:v>4400</c:v>
                </c:pt>
                <c:pt idx="1">
                  <c:v>6000</c:v>
                </c:pt>
                <c:pt idx="2">
                  <c:v>4350</c:v>
                </c:pt>
                <c:pt idx="3">
                  <c:v>6500</c:v>
                </c:pt>
                <c:pt idx="4">
                  <c:v>2500</c:v>
                </c:pt>
                <c:pt idx="5">
                  <c:v>2300</c:v>
                </c:pt>
                <c:pt idx="6">
                  <c:v>3200</c:v>
                </c:pt>
                <c:pt idx="7">
                  <c:v>1500</c:v>
                </c:pt>
                <c:pt idx="8">
                  <c:v>2400</c:v>
                </c:pt>
                <c:pt idx="9">
                  <c:v>2450</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3D52-42F5-9FD9-BEFB7D191C36}"/>
            </c:ext>
          </c:extLst>
        </c:ser>
        <c:dLbls>
          <c:showLegendKey val="0"/>
          <c:showVal val="0"/>
          <c:showCatName val="0"/>
          <c:showSerName val="0"/>
          <c:showPercent val="0"/>
          <c:showBubbleSize val="0"/>
        </c:dLbls>
        <c:gapWidth val="182"/>
        <c:axId val="48650112"/>
        <c:axId val="48672768"/>
      </c:barChart>
      <c:catAx>
        <c:axId val="48650112"/>
        <c:scaling>
          <c:orientation val="maxMin"/>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ajorGridlines>
          <c:spPr>
            <a:ln w="9525" cmpd="sng">
              <a:solidFill>
                <a:schemeClr val="tx1">
                  <a:lumMod val="15000"/>
                  <a:lumOff val="85000"/>
                </a:schemeClr>
              </a:solidFill>
            </a:ln>
          </c:spPr>
        </c:majorGridlines>
        <c:numFmt formatCode="#,##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sz="1400" b="0" i="0" u="none">
                <a:solidFill>
                  <a:schemeClr val="tx1">
                    <a:lumMod val="65000"/>
                    <a:lumOff val="35000"/>
                  </a:schemeClr>
                </a:solidFill>
                <a:latin typeface="+mn-lt"/>
                <a:ea typeface="+mn-lt"/>
                <a:cs typeface="+mn-lt"/>
              </a:rPr>
              <a:t>Revenue per Constructors’ Point ($M)</a:t>
            </a:r>
          </a:p>
        </c:rich>
      </c:tx>
      <c:overlay val="0"/>
    </c:title>
    <c:autoTitleDeleted val="0"/>
    <c:plotArea>
      <c:layout/>
      <c:barChart>
        <c:barDir val="bar"/>
        <c:grouping val="clustered"/>
        <c:varyColors val="0"/>
        <c:ser>
          <c:idx val="0"/>
          <c:order val="0"/>
          <c:tx>
            <c:strRef>
              <c:f>Dashboard!$N$1</c:f>
              <c:strCache>
                <c:ptCount val="1"/>
              </c:strCache>
            </c:strRef>
          </c:tx>
          <c:spPr>
            <a:solidFill>
              <a:srgbClr val="4472C4"/>
            </a:solidFill>
            <a:ln>
              <a:noFill/>
            </a:ln>
          </c:spPr>
          <c:invertIfNegative val="1"/>
          <c:cat>
            <c:strRef>
              <c:f>'Chart Data'!$J$5:$J$14</c:f>
              <c:strCache>
                <c:ptCount val="10"/>
                <c:pt idx="0">
                  <c:v>McLaren</c:v>
                </c:pt>
                <c:pt idx="1">
                  <c:v>Mercedes</c:v>
                </c:pt>
                <c:pt idx="2">
                  <c:v>Red Bull Racing</c:v>
                </c:pt>
                <c:pt idx="3">
                  <c:v>Ferrari</c:v>
                </c:pt>
                <c:pt idx="4">
                  <c:v>Williams</c:v>
                </c:pt>
                <c:pt idx="5">
                  <c:v>Racing Bulls</c:v>
                </c:pt>
                <c:pt idx="6">
                  <c:v>Aston Martin</c:v>
                </c:pt>
                <c:pt idx="7">
                  <c:v>Haas F1 Team</c:v>
                </c:pt>
                <c:pt idx="8">
                  <c:v>Kick Sauber</c:v>
                </c:pt>
                <c:pt idx="9">
                  <c:v>Alpine</c:v>
                </c:pt>
              </c:strCache>
            </c:strRef>
          </c:cat>
          <c:val>
            <c:numRef>
              <c:f>'Chart Data'!$K$5:$K$14</c:f>
              <c:numCache>
                <c:formatCode>0.00</c:formatCode>
                <c:ptCount val="10"/>
                <c:pt idx="0">
                  <c:v>0.73709483793517405</c:v>
                </c:pt>
                <c:pt idx="1">
                  <c:v>1.7036247334754797</c:v>
                </c:pt>
                <c:pt idx="2">
                  <c:v>1.3702882483370289</c:v>
                </c:pt>
                <c:pt idx="3">
                  <c:v>1.6834170854271358</c:v>
                </c:pt>
                <c:pt idx="4">
                  <c:v>1.7883211678832116</c:v>
                </c:pt>
                <c:pt idx="5">
                  <c:v>3.4565217391304346</c:v>
                </c:pt>
                <c:pt idx="6">
                  <c:v>3.9662921348314608</c:v>
                </c:pt>
                <c:pt idx="7">
                  <c:v>1.8987341772151898</c:v>
                </c:pt>
                <c:pt idx="8">
                  <c:v>3.4285714285714284</c:v>
                </c:pt>
                <c:pt idx="9">
                  <c:v>13.636363636363637</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9EF9-45E5-9423-C3392FB8E2AE}"/>
            </c:ext>
          </c:extLst>
        </c:ser>
        <c:dLbls>
          <c:showLegendKey val="0"/>
          <c:showVal val="0"/>
          <c:showCatName val="0"/>
          <c:showSerName val="0"/>
          <c:showPercent val="0"/>
          <c:showBubbleSize val="0"/>
        </c:dLbls>
        <c:gapWidth val="182"/>
        <c:axId val="48650112"/>
        <c:axId val="48672768"/>
      </c:barChart>
      <c:catAx>
        <c:axId val="48650112"/>
        <c:scaling>
          <c:orientation val="maxMin"/>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ajorGridlines>
          <c:spPr>
            <a:ln w="9525" cmpd="sng">
              <a:solidFill>
                <a:schemeClr val="tx1">
                  <a:lumMod val="15000"/>
                  <a:lumOff val="85000"/>
                </a:schemeClr>
              </a:solidFill>
            </a:ln>
          </c:spPr>
        </c:majorGridlines>
        <c:numFmt formatCode="0.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CA" sz="1400" b="0" i="0" u="none">
                <a:solidFill>
                  <a:schemeClr val="tx1">
                    <a:lumMod val="65000"/>
                    <a:lumOff val="35000"/>
                  </a:schemeClr>
                </a:solidFill>
                <a:latin typeface="+mn-lt"/>
                <a:ea typeface="+mn-lt"/>
                <a:cs typeface="+mn-lt"/>
              </a:rPr>
              <a:t>Constructors’ Points per $100M Revenue</a:t>
            </a:r>
          </a:p>
        </c:rich>
      </c:tx>
      <c:overlay val="0"/>
    </c:title>
    <c:autoTitleDeleted val="0"/>
    <c:plotArea>
      <c:layout/>
      <c:barChart>
        <c:barDir val="bar"/>
        <c:grouping val="clustered"/>
        <c:varyColors val="0"/>
        <c:ser>
          <c:idx val="0"/>
          <c:order val="0"/>
          <c:tx>
            <c:strRef>
              <c:f>Dashboard!$Q$1</c:f>
              <c:strCache>
                <c:ptCount val="1"/>
              </c:strCache>
            </c:strRef>
          </c:tx>
          <c:spPr>
            <a:solidFill>
              <a:srgbClr val="4472C4"/>
            </a:solidFill>
            <a:ln>
              <a:noFill/>
            </a:ln>
          </c:spPr>
          <c:invertIfNegative val="1"/>
          <c:cat>
            <c:strRef>
              <c:f>'Chart Data'!$M$5:$M$14</c:f>
              <c:strCache>
                <c:ptCount val="10"/>
                <c:pt idx="0">
                  <c:v>McLaren</c:v>
                </c:pt>
                <c:pt idx="1">
                  <c:v>Mercedes</c:v>
                </c:pt>
                <c:pt idx="2">
                  <c:v>Red Bull Racing</c:v>
                </c:pt>
                <c:pt idx="3">
                  <c:v>Ferrari</c:v>
                </c:pt>
                <c:pt idx="4">
                  <c:v>Williams</c:v>
                </c:pt>
                <c:pt idx="5">
                  <c:v>Racing Bulls</c:v>
                </c:pt>
                <c:pt idx="6">
                  <c:v>Aston Martin</c:v>
                </c:pt>
                <c:pt idx="7">
                  <c:v>Haas F1 Team</c:v>
                </c:pt>
                <c:pt idx="8">
                  <c:v>Kick Sauber</c:v>
                </c:pt>
                <c:pt idx="9">
                  <c:v>Alpine</c:v>
                </c:pt>
              </c:strCache>
            </c:strRef>
          </c:cat>
          <c:val>
            <c:numRef>
              <c:f>'Chart Data'!$N$5:$N$14</c:f>
              <c:numCache>
                <c:formatCode>0.0</c:formatCode>
                <c:ptCount val="10"/>
                <c:pt idx="0">
                  <c:v>135.66775244299674</c:v>
                </c:pt>
                <c:pt idx="1">
                  <c:v>58.698372966207756</c:v>
                </c:pt>
                <c:pt idx="2">
                  <c:v>72.977346278317157</c:v>
                </c:pt>
                <c:pt idx="3">
                  <c:v>59.402985074626869</c:v>
                </c:pt>
                <c:pt idx="4">
                  <c:v>55.91836734693878</c:v>
                </c:pt>
                <c:pt idx="5">
                  <c:v>28.930817610062892</c:v>
                </c:pt>
                <c:pt idx="6">
                  <c:v>25.212464589235129</c:v>
                </c:pt>
                <c:pt idx="7">
                  <c:v>52.666666666666664</c:v>
                </c:pt>
                <c:pt idx="8">
                  <c:v>29.166666666666668</c:v>
                </c:pt>
                <c:pt idx="9">
                  <c:v>7.333333333333333</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C091-4554-8333-D873300BADEC}"/>
            </c:ext>
          </c:extLst>
        </c:ser>
        <c:dLbls>
          <c:showLegendKey val="0"/>
          <c:showVal val="0"/>
          <c:showCatName val="0"/>
          <c:showSerName val="0"/>
          <c:showPercent val="0"/>
          <c:showBubbleSize val="0"/>
        </c:dLbls>
        <c:gapWidth val="182"/>
        <c:axId val="48650112"/>
        <c:axId val="48672768"/>
      </c:barChart>
      <c:catAx>
        <c:axId val="48650112"/>
        <c:scaling>
          <c:orientation val="maxMin"/>
        </c:scaling>
        <c:delete val="0"/>
        <c:axPos val="l"/>
        <c:numFmt formatCode="General" sourceLinked="1"/>
        <c:majorTickMark val="none"/>
        <c:minorTickMark val="none"/>
        <c:tickLblPos val="nextTo"/>
        <c:spPr>
          <a:ln w="9525" cmpd="sng">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ajorGridlines>
          <c:spPr>
            <a:ln w="9525" cmpd="sng">
              <a:solidFill>
                <a:schemeClr val="tx1">
                  <a:lumMod val="15000"/>
                  <a:lumOff val="85000"/>
                </a:schemeClr>
              </a:solidFill>
            </a:ln>
          </c:spPr>
        </c:majorGridlines>
        <c:numFmt formatCode="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11</xdr:row>
      <xdr:rowOff>4761</xdr:rowOff>
    </xdr:from>
    <xdr:to>
      <xdr:col>8</xdr:col>
      <xdr:colOff>323850</xdr:colOff>
      <xdr:row>27</xdr:row>
      <xdr:rowOff>85724</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514349</xdr:colOff>
      <xdr:row>11</xdr:row>
      <xdr:rowOff>9526</xdr:rowOff>
    </xdr:from>
    <xdr:to>
      <xdr:col>17</xdr:col>
      <xdr:colOff>276224</xdr:colOff>
      <xdr:row>27</xdr:row>
      <xdr:rowOff>66676</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28</xdr:row>
      <xdr:rowOff>166687</xdr:rowOff>
    </xdr:from>
    <xdr:to>
      <xdr:col>8</xdr:col>
      <xdr:colOff>361950</xdr:colOff>
      <xdr:row>44</xdr:row>
      <xdr:rowOff>52387</xdr:rowOff>
    </xdr:to>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514350</xdr:colOff>
      <xdr:row>45</xdr:row>
      <xdr:rowOff>4762</xdr:rowOff>
    </xdr:from>
    <xdr:to>
      <xdr:col>17</xdr:col>
      <xdr:colOff>209550</xdr:colOff>
      <xdr:row>61</xdr:row>
      <xdr:rowOff>80962</xdr:rowOff>
    </xdr:to>
    <xdr:graphicFrame macro="">
      <xdr:nvGraphicFramePr>
        <xdr:cNvPr id="5" nam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600076</xdr:colOff>
      <xdr:row>28</xdr:row>
      <xdr:rowOff>23812</xdr:rowOff>
    </xdr:from>
    <xdr:to>
      <xdr:col>17</xdr:col>
      <xdr:colOff>381000</xdr:colOff>
      <xdr:row>44</xdr:row>
      <xdr:rowOff>28575</xdr:rowOff>
    </xdr:to>
    <xdr:graphicFrame macro="">
      <xdr:nvGraphicFramePr>
        <xdr:cNvPr id="6" nam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1RawDataTable" displayName="F1RawDataTable" ref="A1:L11">
  <tableColumns count="12">
    <tableColumn id="1" xr3:uid="{00000000-0010-0000-0000-000001000000}" name="Season"/>
    <tableColumn id="2" xr3:uid="{00000000-0010-0000-0000-000002000000}" name="Team"/>
    <tableColumn id="3" xr3:uid="{00000000-0010-0000-0000-000003000000}" name="Championship Position"/>
    <tableColumn id="4" xr3:uid="{00000000-0010-0000-0000-000004000000}" name="Constructors Points"/>
    <tableColumn id="5" xr3:uid="{00000000-0010-0000-0000-000005000000}" name="Wins"/>
    <tableColumn id="6" xr3:uid="{00000000-0010-0000-0000-000006000000}" name="Podiums"/>
    <tableColumn id="7" xr3:uid="{00000000-0010-0000-0000-000007000000}" name="Revenue (USD Millions)"/>
    <tableColumn id="8" xr3:uid="{00000000-0010-0000-0000-000008000000}" name="Team Value (USD Millions)"/>
    <tableColumn id="9" xr3:uid="{00000000-0010-0000-0000-000009000000}" name="Source"/>
    <tableColumn id="10" xr3:uid="{00000000-0010-0000-0000-00000A000000}" name="Notes"/>
    <tableColumn id="11" xr3:uid="{00000000-0010-0000-0000-00000B000000}" name="Revenue per Constructor Point (USD M)"/>
    <tableColumn id="12" xr3:uid="{00000000-0010-0000-0000-00000C000000}" name="Points per $100M 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1SourcesTable" displayName="F1SourcesTable" ref="A1:F6">
  <tableColumns count="6">
    <tableColumn id="1" xr3:uid="{00000000-0010-0000-0100-000001000000}" name="Source Name"/>
    <tableColumn id="2" xr3:uid="{00000000-0010-0000-0100-000002000000}" name="Website Link"/>
    <tableColumn id="3" xr3:uid="{00000000-0010-0000-0100-000003000000}" name="Data Collected"/>
    <tableColumn id="4" xr3:uid="{00000000-0010-0000-0100-000004000000}" name="Season"/>
    <tableColumn id="5" xr3:uid="{00000000-0010-0000-0100-000005000000}" name="Date Accessed"/>
    <tableColumn id="6" xr3:uid="{00000000-0010-0000-0100-000006000000}" name="Reliability Notes"/>
  </tableColumns>
  <tableStyleInfo name="TableStyleMedium2" showFirstColumn="0" showLastColumn="0" showRowStripes="1" showColumnStripes="0"/>
</table>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
  <sheetViews>
    <sheetView topLeftCell="J1" workbookViewId="0">
      <selection activeCell="K2" sqref="K2:L11"/>
    </sheetView>
  </sheetViews>
  <sheetFormatPr defaultRowHeight="15" x14ac:dyDescent="0.25"/>
  <cols>
    <col min="1" max="1" width="10" customWidth="1"/>
    <col min="2" max="2" width="18" customWidth="1"/>
    <col min="3" max="3" width="20" customWidth="1"/>
    <col min="4" max="4" width="18" customWidth="1"/>
    <col min="5" max="5" width="9" customWidth="1"/>
    <col min="6" max="6" width="10" customWidth="1"/>
    <col min="7" max="7" width="19" customWidth="1"/>
    <col min="8" max="8" width="20" customWidth="1"/>
    <col min="9" max="9" width="30" customWidth="1"/>
    <col min="10" max="10" width="42" customWidth="1"/>
    <col min="11" max="11" width="24" customWidth="1"/>
    <col min="12" max="12" width="22" customWidth="1"/>
  </cols>
  <sheetData>
    <row r="1" spans="1:12" ht="33.950000000000003" customHeight="1" x14ac:dyDescent="0.25">
      <c r="A1" s="4" t="s">
        <v>0</v>
      </c>
      <c r="B1" s="4" t="s">
        <v>1</v>
      </c>
      <c r="C1" s="4" t="s">
        <v>2</v>
      </c>
      <c r="D1" s="4" t="s">
        <v>3</v>
      </c>
      <c r="E1" s="4" t="s">
        <v>4</v>
      </c>
      <c r="F1" s="4" t="s">
        <v>5</v>
      </c>
      <c r="G1" s="4" t="s">
        <v>6</v>
      </c>
      <c r="H1" s="4" t="s">
        <v>7</v>
      </c>
      <c r="I1" s="4" t="s">
        <v>8</v>
      </c>
      <c r="J1" s="4" t="s">
        <v>9</v>
      </c>
      <c r="K1" s="4" t="s">
        <v>10</v>
      </c>
      <c r="L1" s="4" t="s">
        <v>11</v>
      </c>
    </row>
    <row r="2" spans="1:12" ht="24" customHeight="1" x14ac:dyDescent="0.25">
      <c r="A2" s="5">
        <v>2025</v>
      </c>
      <c r="B2" s="7" t="s">
        <v>12</v>
      </c>
      <c r="C2" s="11">
        <v>1</v>
      </c>
      <c r="D2" s="11">
        <v>833</v>
      </c>
      <c r="E2" s="11">
        <v>14</v>
      </c>
      <c r="F2" s="11">
        <v>34</v>
      </c>
      <c r="G2" s="6">
        <v>614</v>
      </c>
      <c r="H2" s="6">
        <v>4400</v>
      </c>
      <c r="I2" s="8" t="s">
        <v>13</v>
      </c>
      <c r="J2" s="8" t="s">
        <v>14</v>
      </c>
      <c r="K2" s="9">
        <f>G2/D2</f>
        <v>0.73709483793517405</v>
      </c>
      <c r="L2" s="10">
        <f t="shared" ref="L2:L11" si="0">D2/G2*100</f>
        <v>135.66775244299674</v>
      </c>
    </row>
    <row r="3" spans="1:12" ht="24" customHeight="1" x14ac:dyDescent="0.25">
      <c r="A3" s="5">
        <v>2025</v>
      </c>
      <c r="B3" s="7" t="s">
        <v>15</v>
      </c>
      <c r="C3" s="11">
        <v>2</v>
      </c>
      <c r="D3" s="11">
        <v>469</v>
      </c>
      <c r="E3" s="11">
        <v>2</v>
      </c>
      <c r="F3" s="11">
        <v>12</v>
      </c>
      <c r="G3" s="6">
        <v>799</v>
      </c>
      <c r="H3" s="6">
        <v>6000</v>
      </c>
      <c r="I3" s="8" t="s">
        <v>13</v>
      </c>
      <c r="J3" s="8" t="s">
        <v>14</v>
      </c>
      <c r="K3" s="9">
        <f t="shared" ref="K3:K11" si="1">G3/D3</f>
        <v>1.7036247334754797</v>
      </c>
      <c r="L3" s="10">
        <f t="shared" si="0"/>
        <v>58.698372966207756</v>
      </c>
    </row>
    <row r="4" spans="1:12" ht="24" customHeight="1" x14ac:dyDescent="0.25">
      <c r="A4" s="5">
        <v>2025</v>
      </c>
      <c r="B4" s="7" t="s">
        <v>16</v>
      </c>
      <c r="C4" s="11">
        <v>3</v>
      </c>
      <c r="D4" s="11">
        <v>451</v>
      </c>
      <c r="E4" s="11">
        <v>8</v>
      </c>
      <c r="F4" s="11">
        <v>15</v>
      </c>
      <c r="G4" s="6">
        <v>618</v>
      </c>
      <c r="H4" s="6">
        <v>4350</v>
      </c>
      <c r="I4" s="8" t="s">
        <v>13</v>
      </c>
      <c r="J4" s="8" t="s">
        <v>14</v>
      </c>
      <c r="K4" s="9">
        <f t="shared" si="1"/>
        <v>1.3702882483370289</v>
      </c>
      <c r="L4" s="10">
        <f>D4/G4*100</f>
        <v>72.977346278317157</v>
      </c>
    </row>
    <row r="5" spans="1:12" ht="24" customHeight="1" x14ac:dyDescent="0.25">
      <c r="A5" s="5">
        <v>2025</v>
      </c>
      <c r="B5" s="7" t="s">
        <v>17</v>
      </c>
      <c r="C5" s="11">
        <v>4</v>
      </c>
      <c r="D5" s="11">
        <v>398</v>
      </c>
      <c r="E5" s="11">
        <v>0</v>
      </c>
      <c r="F5" s="11">
        <v>7</v>
      </c>
      <c r="G5" s="6">
        <v>670</v>
      </c>
      <c r="H5" s="6">
        <v>6500</v>
      </c>
      <c r="I5" s="8" t="s">
        <v>13</v>
      </c>
      <c r="J5" s="8" t="s">
        <v>14</v>
      </c>
      <c r="K5" s="9">
        <f t="shared" si="1"/>
        <v>1.6834170854271358</v>
      </c>
      <c r="L5" s="10">
        <f t="shared" si="0"/>
        <v>59.402985074626869</v>
      </c>
    </row>
    <row r="6" spans="1:12" ht="24" customHeight="1" x14ac:dyDescent="0.25">
      <c r="A6" s="5">
        <v>2025</v>
      </c>
      <c r="B6" s="7" t="s">
        <v>18</v>
      </c>
      <c r="C6" s="11">
        <v>5</v>
      </c>
      <c r="D6" s="11">
        <v>137</v>
      </c>
      <c r="E6" s="11">
        <v>0</v>
      </c>
      <c r="F6" s="11">
        <v>2</v>
      </c>
      <c r="G6" s="6">
        <v>245</v>
      </c>
      <c r="H6" s="6">
        <v>2500</v>
      </c>
      <c r="I6" s="8" t="s">
        <v>13</v>
      </c>
      <c r="J6" s="8" t="s">
        <v>14</v>
      </c>
      <c r="K6" s="9">
        <f t="shared" si="1"/>
        <v>1.7883211678832116</v>
      </c>
      <c r="L6" s="10">
        <f t="shared" si="0"/>
        <v>55.91836734693878</v>
      </c>
    </row>
    <row r="7" spans="1:12" ht="24" customHeight="1" x14ac:dyDescent="0.25">
      <c r="A7" s="5">
        <v>2025</v>
      </c>
      <c r="B7" s="7" t="s">
        <v>19</v>
      </c>
      <c r="C7" s="11">
        <v>6</v>
      </c>
      <c r="D7" s="11">
        <v>92</v>
      </c>
      <c r="E7" s="11">
        <v>0</v>
      </c>
      <c r="F7" s="11">
        <v>1</v>
      </c>
      <c r="G7" s="6">
        <v>318</v>
      </c>
      <c r="H7" s="6">
        <v>2300</v>
      </c>
      <c r="I7" s="8" t="s">
        <v>13</v>
      </c>
      <c r="J7" s="8" t="s">
        <v>14</v>
      </c>
      <c r="K7" s="9">
        <f t="shared" si="1"/>
        <v>3.4565217391304346</v>
      </c>
      <c r="L7" s="10">
        <f t="shared" si="0"/>
        <v>28.930817610062892</v>
      </c>
    </row>
    <row r="8" spans="1:12" ht="24" customHeight="1" x14ac:dyDescent="0.25">
      <c r="A8" s="5">
        <v>2025</v>
      </c>
      <c r="B8" s="7" t="s">
        <v>20</v>
      </c>
      <c r="C8" s="11">
        <v>7</v>
      </c>
      <c r="D8" s="11">
        <v>89</v>
      </c>
      <c r="E8" s="11">
        <v>0</v>
      </c>
      <c r="F8" s="11">
        <v>0</v>
      </c>
      <c r="G8" s="6">
        <v>353</v>
      </c>
      <c r="H8" s="6">
        <v>3200</v>
      </c>
      <c r="I8" s="8" t="s">
        <v>13</v>
      </c>
      <c r="J8" s="8" t="s">
        <v>14</v>
      </c>
      <c r="K8" s="9">
        <f>G8/D8</f>
        <v>3.9662921348314608</v>
      </c>
      <c r="L8" s="10">
        <f t="shared" si="0"/>
        <v>25.212464589235129</v>
      </c>
    </row>
    <row r="9" spans="1:12" ht="24" customHeight="1" x14ac:dyDescent="0.25">
      <c r="A9" s="5">
        <v>2025</v>
      </c>
      <c r="B9" s="7" t="s">
        <v>21</v>
      </c>
      <c r="C9" s="11">
        <v>8</v>
      </c>
      <c r="D9" s="11">
        <v>79</v>
      </c>
      <c r="E9" s="11">
        <v>0</v>
      </c>
      <c r="F9" s="11">
        <v>0</v>
      </c>
      <c r="G9" s="6">
        <v>150</v>
      </c>
      <c r="H9" s="6">
        <v>1500</v>
      </c>
      <c r="I9" s="8" t="s">
        <v>13</v>
      </c>
      <c r="J9" s="8" t="s">
        <v>14</v>
      </c>
      <c r="K9" s="9">
        <f>G9/D9</f>
        <v>1.8987341772151898</v>
      </c>
      <c r="L9" s="10">
        <f t="shared" si="0"/>
        <v>52.666666666666664</v>
      </c>
    </row>
    <row r="10" spans="1:12" ht="24" customHeight="1" x14ac:dyDescent="0.25">
      <c r="A10" s="5">
        <v>2025</v>
      </c>
      <c r="B10" s="7" t="s">
        <v>22</v>
      </c>
      <c r="C10" s="11">
        <v>9</v>
      </c>
      <c r="D10" s="11">
        <v>70</v>
      </c>
      <c r="E10" s="11">
        <v>0</v>
      </c>
      <c r="F10" s="11">
        <v>1</v>
      </c>
      <c r="G10" s="6">
        <v>240</v>
      </c>
      <c r="H10" s="6">
        <v>2400</v>
      </c>
      <c r="I10" s="8" t="s">
        <v>13</v>
      </c>
      <c r="J10" s="8" t="s">
        <v>14</v>
      </c>
      <c r="K10" s="9">
        <f>G10/D10</f>
        <v>3.4285714285714284</v>
      </c>
      <c r="L10" s="10">
        <f t="shared" si="0"/>
        <v>29.166666666666668</v>
      </c>
    </row>
    <row r="11" spans="1:12" ht="24" customHeight="1" x14ac:dyDescent="0.25">
      <c r="A11" s="5">
        <v>2025</v>
      </c>
      <c r="B11" s="7" t="s">
        <v>23</v>
      </c>
      <c r="C11" s="11">
        <v>10</v>
      </c>
      <c r="D11" s="11">
        <v>22</v>
      </c>
      <c r="E11" s="11">
        <v>0</v>
      </c>
      <c r="F11" s="11">
        <v>0</v>
      </c>
      <c r="G11" s="6">
        <v>300</v>
      </c>
      <c r="H11" s="6">
        <v>2450</v>
      </c>
      <c r="I11" s="8" t="s">
        <v>13</v>
      </c>
      <c r="J11" s="8" t="s">
        <v>14</v>
      </c>
      <c r="K11" s="9">
        <f t="shared" si="1"/>
        <v>13.636363636363637</v>
      </c>
      <c r="L11" s="10">
        <f t="shared" si="0"/>
        <v>7.333333333333333</v>
      </c>
    </row>
    <row r="12" spans="1:12" x14ac:dyDescent="0.25">
      <c r="A12" s="1"/>
      <c r="C12" s="1"/>
      <c r="D12" s="1"/>
      <c r="E12" s="1"/>
      <c r="F12" s="1"/>
      <c r="G12" s="2"/>
      <c r="H12" s="2"/>
    </row>
    <row r="13" spans="1:12" x14ac:dyDescent="0.25">
      <c r="A13" s="1"/>
      <c r="C13" s="1"/>
      <c r="D13" s="1"/>
      <c r="E13" s="1"/>
      <c r="F13" s="1"/>
      <c r="G13" s="2"/>
      <c r="H13" s="2"/>
    </row>
    <row r="14" spans="1:12" x14ac:dyDescent="0.25">
      <c r="A14" s="1"/>
      <c r="C14" s="1"/>
      <c r="D14" s="1"/>
      <c r="E14" s="1"/>
      <c r="F14" s="1"/>
      <c r="G14" s="2"/>
      <c r="H14" s="2"/>
    </row>
    <row r="15" spans="1:12" x14ac:dyDescent="0.25">
      <c r="A15" s="1"/>
      <c r="C15" s="1"/>
      <c r="D15" s="1"/>
      <c r="E15" s="1"/>
      <c r="F15" s="1"/>
      <c r="G15" s="2"/>
      <c r="H15" s="2"/>
    </row>
    <row r="16" spans="1:12" x14ac:dyDescent="0.25">
      <c r="A16" s="1"/>
      <c r="C16" s="1"/>
      <c r="D16" s="1"/>
      <c r="E16" s="1"/>
      <c r="F16" s="1"/>
      <c r="G16" s="2"/>
      <c r="H16" s="2"/>
    </row>
    <row r="17" spans="1:8" x14ac:dyDescent="0.25">
      <c r="A17" s="1"/>
      <c r="C17" s="1"/>
      <c r="D17" s="1"/>
      <c r="E17" s="1"/>
      <c r="F17" s="1"/>
      <c r="G17" s="2"/>
      <c r="H17" s="2"/>
    </row>
    <row r="18" spans="1:8" x14ac:dyDescent="0.25">
      <c r="A18" s="1"/>
      <c r="C18" s="1"/>
      <c r="D18" s="1"/>
      <c r="E18" s="1"/>
      <c r="F18" s="1"/>
      <c r="G18" s="2"/>
      <c r="H18" s="2"/>
    </row>
    <row r="19" spans="1:8" x14ac:dyDescent="0.25">
      <c r="A19" s="1"/>
      <c r="C19" s="1"/>
      <c r="D19" s="1"/>
      <c r="E19" s="1"/>
      <c r="F19" s="1"/>
      <c r="G19" s="2"/>
      <c r="H19" s="2"/>
    </row>
    <row r="20" spans="1:8" x14ac:dyDescent="0.25">
      <c r="A20" s="1"/>
      <c r="C20" s="1"/>
      <c r="D20" s="1"/>
      <c r="E20" s="1"/>
      <c r="F20" s="1"/>
      <c r="G20" s="2"/>
      <c r="H20" s="2"/>
    </row>
    <row r="21" spans="1:8" x14ac:dyDescent="0.25">
      <c r="A21" s="1"/>
      <c r="C21" s="1"/>
      <c r="D21" s="1"/>
      <c r="E21" s="1"/>
      <c r="F21" s="1"/>
      <c r="G21" s="2"/>
      <c r="H21" s="2"/>
    </row>
    <row r="22" spans="1:8" x14ac:dyDescent="0.25">
      <c r="A22" s="1"/>
      <c r="C22" s="1"/>
      <c r="D22" s="1"/>
      <c r="E22" s="1"/>
      <c r="F22" s="1"/>
      <c r="G22" s="2"/>
      <c r="H22" s="2"/>
    </row>
    <row r="23" spans="1:8" x14ac:dyDescent="0.25">
      <c r="A23" s="1"/>
      <c r="C23" s="1"/>
      <c r="D23" s="1"/>
      <c r="E23" s="1"/>
      <c r="F23" s="1"/>
      <c r="G23" s="2"/>
      <c r="H23" s="2"/>
    </row>
    <row r="24" spans="1:8" x14ac:dyDescent="0.25">
      <c r="A24" s="1"/>
      <c r="C24" s="1"/>
      <c r="D24" s="1"/>
      <c r="E24" s="1"/>
      <c r="F24" s="1"/>
      <c r="G24" s="2"/>
      <c r="H24" s="2"/>
    </row>
    <row r="25" spans="1:8" x14ac:dyDescent="0.25">
      <c r="A25" s="1"/>
      <c r="C25" s="1"/>
      <c r="D25" s="1"/>
      <c r="E25" s="1"/>
      <c r="F25" s="1"/>
      <c r="G25" s="2"/>
      <c r="H25" s="2"/>
    </row>
    <row r="26" spans="1:8" x14ac:dyDescent="0.25">
      <c r="A26" s="1"/>
      <c r="C26" s="1"/>
      <c r="D26" s="1"/>
      <c r="E26" s="1"/>
      <c r="F26" s="1"/>
      <c r="G26" s="2"/>
      <c r="H26" s="2"/>
    </row>
    <row r="27" spans="1:8" x14ac:dyDescent="0.25">
      <c r="A27" s="1"/>
      <c r="C27" s="1"/>
      <c r="D27" s="1"/>
      <c r="E27" s="1"/>
      <c r="F27" s="1"/>
      <c r="G27" s="2"/>
      <c r="H27" s="2"/>
    </row>
    <row r="28" spans="1:8" x14ac:dyDescent="0.25">
      <c r="A28" s="1"/>
      <c r="C28" s="1"/>
      <c r="D28" s="1"/>
      <c r="E28" s="1"/>
      <c r="F28" s="1"/>
      <c r="G28" s="2"/>
      <c r="H28" s="2"/>
    </row>
    <row r="29" spans="1:8" x14ac:dyDescent="0.25">
      <c r="A29" s="1"/>
      <c r="C29" s="1"/>
      <c r="D29" s="1"/>
      <c r="E29" s="1"/>
      <c r="F29" s="1"/>
      <c r="G29" s="2"/>
      <c r="H29" s="2"/>
    </row>
    <row r="30" spans="1:8" x14ac:dyDescent="0.25">
      <c r="A30" s="1"/>
      <c r="C30" s="1"/>
      <c r="D30" s="1"/>
      <c r="E30" s="1"/>
      <c r="F30" s="1"/>
      <c r="G30" s="2"/>
      <c r="H30" s="2"/>
    </row>
    <row r="31" spans="1:8" x14ac:dyDescent="0.25">
      <c r="A31" s="1"/>
      <c r="C31" s="1"/>
      <c r="D31" s="1"/>
      <c r="E31" s="1"/>
      <c r="F31" s="1"/>
      <c r="G31" s="2"/>
      <c r="H31" s="2"/>
    </row>
    <row r="32" spans="1:8" x14ac:dyDescent="0.25">
      <c r="A32" s="1"/>
      <c r="C32" s="1"/>
      <c r="D32" s="1"/>
      <c r="E32" s="1"/>
      <c r="F32" s="1"/>
      <c r="G32" s="2"/>
      <c r="H32" s="2"/>
    </row>
    <row r="33" spans="1:8" x14ac:dyDescent="0.25">
      <c r="A33" s="1"/>
      <c r="C33" s="1"/>
      <c r="D33" s="1"/>
      <c r="E33" s="1"/>
      <c r="F33" s="1"/>
      <c r="G33" s="2"/>
      <c r="H33" s="2"/>
    </row>
    <row r="34" spans="1:8" x14ac:dyDescent="0.25">
      <c r="A34" s="1"/>
      <c r="C34" s="1"/>
      <c r="D34" s="1"/>
      <c r="E34" s="1"/>
      <c r="F34" s="1"/>
      <c r="G34" s="2"/>
      <c r="H34" s="2"/>
    </row>
    <row r="35" spans="1:8" x14ac:dyDescent="0.25">
      <c r="A35" s="1"/>
      <c r="C35" s="1"/>
      <c r="D35" s="1"/>
      <c r="E35" s="1"/>
      <c r="F35" s="1"/>
      <c r="G35" s="2"/>
      <c r="H35" s="2"/>
    </row>
    <row r="36" spans="1:8" x14ac:dyDescent="0.25">
      <c r="A36" s="1"/>
      <c r="C36" s="1"/>
      <c r="D36" s="1"/>
      <c r="E36" s="1"/>
      <c r="F36" s="1"/>
      <c r="G36" s="2"/>
      <c r="H36" s="2"/>
    </row>
    <row r="37" spans="1:8" x14ac:dyDescent="0.25">
      <c r="A37" s="1"/>
      <c r="C37" s="1"/>
      <c r="D37" s="1"/>
      <c r="E37" s="1"/>
      <c r="F37" s="1"/>
      <c r="G37" s="2"/>
      <c r="H37" s="2"/>
    </row>
    <row r="38" spans="1:8" x14ac:dyDescent="0.25">
      <c r="A38" s="1"/>
      <c r="C38" s="1"/>
      <c r="D38" s="1"/>
      <c r="E38" s="1"/>
      <c r="F38" s="1"/>
      <c r="G38" s="2"/>
      <c r="H38" s="2"/>
    </row>
    <row r="39" spans="1:8" x14ac:dyDescent="0.25">
      <c r="A39" s="1"/>
      <c r="C39" s="1"/>
      <c r="D39" s="1"/>
      <c r="E39" s="1"/>
      <c r="F39" s="1"/>
      <c r="G39" s="2"/>
      <c r="H39" s="2"/>
    </row>
    <row r="40" spans="1:8" x14ac:dyDescent="0.25">
      <c r="A40" s="1"/>
      <c r="C40" s="1"/>
      <c r="D40" s="1"/>
      <c r="E40" s="1"/>
      <c r="F40" s="1"/>
      <c r="G40" s="2"/>
      <c r="H40" s="2"/>
    </row>
    <row r="41" spans="1:8" x14ac:dyDescent="0.25">
      <c r="A41" s="1"/>
      <c r="C41" s="1"/>
      <c r="D41" s="1"/>
      <c r="E41" s="1"/>
      <c r="F41" s="1"/>
      <c r="G41" s="2"/>
      <c r="H41" s="2"/>
    </row>
    <row r="42" spans="1:8" x14ac:dyDescent="0.25">
      <c r="A42" s="1"/>
      <c r="C42" s="1"/>
      <c r="D42" s="1"/>
      <c r="E42" s="1"/>
      <c r="F42" s="1"/>
      <c r="G42" s="2"/>
      <c r="H42" s="2"/>
    </row>
    <row r="43" spans="1:8" x14ac:dyDescent="0.25">
      <c r="A43" s="1"/>
      <c r="C43" s="1"/>
      <c r="D43" s="1"/>
      <c r="E43" s="1"/>
      <c r="F43" s="1"/>
      <c r="G43" s="2"/>
      <c r="H43" s="2"/>
    </row>
    <row r="44" spans="1:8" x14ac:dyDescent="0.25">
      <c r="A44" s="1"/>
      <c r="C44" s="1"/>
      <c r="D44" s="1"/>
      <c r="E44" s="1"/>
      <c r="F44" s="1"/>
      <c r="G44" s="2"/>
      <c r="H44" s="2"/>
    </row>
    <row r="45" spans="1:8" x14ac:dyDescent="0.25">
      <c r="A45" s="1"/>
      <c r="C45" s="1"/>
      <c r="D45" s="1"/>
      <c r="E45" s="1"/>
      <c r="F45" s="1"/>
      <c r="G45" s="2"/>
      <c r="H45" s="2"/>
    </row>
    <row r="46" spans="1:8" x14ac:dyDescent="0.25">
      <c r="A46" s="1"/>
      <c r="C46" s="1"/>
      <c r="D46" s="1"/>
      <c r="E46" s="1"/>
      <c r="F46" s="1"/>
      <c r="G46" s="2"/>
      <c r="H46" s="2"/>
    </row>
    <row r="47" spans="1:8" x14ac:dyDescent="0.25">
      <c r="A47" s="1"/>
      <c r="C47" s="1"/>
      <c r="D47" s="1"/>
      <c r="E47" s="1"/>
      <c r="F47" s="1"/>
      <c r="G47" s="2"/>
      <c r="H47" s="2"/>
    </row>
    <row r="48" spans="1:8" x14ac:dyDescent="0.25">
      <c r="A48" s="1"/>
      <c r="C48" s="1"/>
      <c r="D48" s="1"/>
      <c r="E48" s="1"/>
      <c r="F48" s="1"/>
      <c r="G48" s="2"/>
      <c r="H48" s="2"/>
    </row>
    <row r="49" spans="1:8" x14ac:dyDescent="0.25">
      <c r="A49" s="1"/>
      <c r="C49" s="1"/>
      <c r="D49" s="1"/>
      <c r="E49" s="1"/>
      <c r="F49" s="1"/>
      <c r="G49" s="2"/>
      <c r="H49" s="2"/>
    </row>
    <row r="50" spans="1:8" x14ac:dyDescent="0.25">
      <c r="A50" s="1"/>
      <c r="C50" s="1"/>
      <c r="D50" s="1"/>
      <c r="E50" s="1"/>
      <c r="F50" s="1"/>
      <c r="G50" s="2"/>
      <c r="H50" s="2"/>
    </row>
    <row r="51" spans="1:8" x14ac:dyDescent="0.25">
      <c r="A51" s="1"/>
      <c r="C51" s="1"/>
      <c r="D51" s="1"/>
      <c r="E51" s="1"/>
      <c r="F51" s="1"/>
      <c r="G51" s="2"/>
      <c r="H51" s="2"/>
    </row>
    <row r="52" spans="1:8" x14ac:dyDescent="0.25">
      <c r="A52" s="1"/>
      <c r="C52" s="1"/>
      <c r="D52" s="1"/>
      <c r="E52" s="1"/>
      <c r="F52" s="1"/>
      <c r="G52" s="2"/>
      <c r="H52" s="2"/>
    </row>
    <row r="53" spans="1:8" x14ac:dyDescent="0.25">
      <c r="A53" s="1"/>
      <c r="C53" s="1"/>
      <c r="D53" s="1"/>
      <c r="E53" s="1"/>
      <c r="F53" s="1"/>
      <c r="G53" s="2"/>
      <c r="H53" s="2"/>
    </row>
    <row r="54" spans="1:8" x14ac:dyDescent="0.25">
      <c r="A54" s="1"/>
      <c r="C54" s="1"/>
      <c r="D54" s="1"/>
      <c r="E54" s="1"/>
      <c r="F54" s="1"/>
      <c r="G54" s="2"/>
      <c r="H54" s="2"/>
    </row>
    <row r="55" spans="1:8" x14ac:dyDescent="0.25">
      <c r="A55" s="1"/>
      <c r="C55" s="1"/>
      <c r="D55" s="1"/>
      <c r="E55" s="1"/>
      <c r="F55" s="1"/>
      <c r="G55" s="2"/>
      <c r="H55" s="2"/>
    </row>
    <row r="56" spans="1:8" x14ac:dyDescent="0.25">
      <c r="A56" s="1"/>
      <c r="C56" s="1"/>
      <c r="D56" s="1"/>
      <c r="E56" s="1"/>
      <c r="F56" s="1"/>
      <c r="G56" s="2"/>
      <c r="H56" s="2"/>
    </row>
    <row r="57" spans="1:8" x14ac:dyDescent="0.25">
      <c r="A57" s="1"/>
      <c r="C57" s="1"/>
      <c r="D57" s="1"/>
      <c r="E57" s="1"/>
      <c r="F57" s="1"/>
      <c r="G57" s="2"/>
      <c r="H57" s="2"/>
    </row>
    <row r="58" spans="1:8" x14ac:dyDescent="0.25">
      <c r="A58" s="1"/>
      <c r="C58" s="1"/>
      <c r="D58" s="1"/>
      <c r="E58" s="1"/>
      <c r="F58" s="1"/>
      <c r="G58" s="2"/>
      <c r="H58" s="2"/>
    </row>
    <row r="59" spans="1:8" x14ac:dyDescent="0.25">
      <c r="A59" s="1"/>
      <c r="C59" s="1"/>
      <c r="D59" s="1"/>
      <c r="E59" s="1"/>
      <c r="F59" s="1"/>
      <c r="G59" s="2"/>
      <c r="H59" s="2"/>
    </row>
    <row r="60" spans="1:8" x14ac:dyDescent="0.25">
      <c r="A60" s="1"/>
      <c r="C60" s="1"/>
      <c r="D60" s="1"/>
      <c r="E60" s="1"/>
      <c r="F60" s="1"/>
      <c r="G60" s="2"/>
      <c r="H60" s="2"/>
    </row>
    <row r="61" spans="1:8" x14ac:dyDescent="0.25">
      <c r="A61" s="1"/>
      <c r="C61" s="1"/>
      <c r="D61" s="1"/>
      <c r="E61" s="1"/>
      <c r="F61" s="1"/>
      <c r="G61" s="2"/>
      <c r="H61" s="2"/>
    </row>
    <row r="62" spans="1:8" x14ac:dyDescent="0.25">
      <c r="A62" s="1"/>
      <c r="C62" s="1"/>
      <c r="D62" s="1"/>
      <c r="E62" s="1"/>
      <c r="F62" s="1"/>
      <c r="G62" s="2"/>
      <c r="H62" s="2"/>
    </row>
    <row r="63" spans="1:8" x14ac:dyDescent="0.25">
      <c r="A63" s="1"/>
      <c r="C63" s="1"/>
      <c r="D63" s="1"/>
      <c r="E63" s="1"/>
      <c r="F63" s="1"/>
      <c r="G63" s="2"/>
      <c r="H63" s="2"/>
    </row>
    <row r="64" spans="1:8" x14ac:dyDescent="0.25">
      <c r="A64" s="1"/>
      <c r="C64" s="1"/>
      <c r="D64" s="1"/>
      <c r="E64" s="1"/>
      <c r="F64" s="1"/>
      <c r="G64" s="2"/>
      <c r="H64" s="2"/>
    </row>
    <row r="65" spans="1:8" x14ac:dyDescent="0.25">
      <c r="A65" s="1"/>
      <c r="C65" s="1"/>
      <c r="D65" s="1"/>
      <c r="E65" s="1"/>
      <c r="F65" s="1"/>
      <c r="G65" s="2"/>
      <c r="H65" s="2"/>
    </row>
    <row r="66" spans="1:8" x14ac:dyDescent="0.25">
      <c r="A66" s="1"/>
      <c r="C66" s="1"/>
      <c r="D66" s="1"/>
      <c r="E66" s="1"/>
      <c r="F66" s="1"/>
      <c r="G66" s="2"/>
      <c r="H66" s="2"/>
    </row>
    <row r="67" spans="1:8" x14ac:dyDescent="0.25">
      <c r="A67" s="1"/>
      <c r="C67" s="1"/>
      <c r="D67" s="1"/>
      <c r="E67" s="1"/>
      <c r="F67" s="1"/>
      <c r="G67" s="2"/>
      <c r="H67" s="2"/>
    </row>
    <row r="68" spans="1:8" x14ac:dyDescent="0.25">
      <c r="A68" s="1"/>
      <c r="C68" s="1"/>
      <c r="D68" s="1"/>
      <c r="E68" s="1"/>
      <c r="F68" s="1"/>
      <c r="G68" s="2"/>
      <c r="H68" s="2"/>
    </row>
    <row r="69" spans="1:8" x14ac:dyDescent="0.25">
      <c r="A69" s="1"/>
      <c r="C69" s="1"/>
      <c r="D69" s="1"/>
      <c r="E69" s="1"/>
      <c r="F69" s="1"/>
      <c r="G69" s="2"/>
      <c r="H69" s="2"/>
    </row>
    <row r="70" spans="1:8" x14ac:dyDescent="0.25">
      <c r="A70" s="1"/>
      <c r="C70" s="1"/>
      <c r="D70" s="1"/>
      <c r="E70" s="1"/>
      <c r="F70" s="1"/>
      <c r="G70" s="2"/>
      <c r="H70" s="2"/>
    </row>
    <row r="71" spans="1:8" x14ac:dyDescent="0.25">
      <c r="A71" s="1"/>
      <c r="C71" s="1"/>
      <c r="D71" s="1"/>
      <c r="E71" s="1"/>
      <c r="F71" s="1"/>
      <c r="G71" s="2"/>
      <c r="H71" s="2"/>
    </row>
    <row r="72" spans="1:8" x14ac:dyDescent="0.25">
      <c r="A72" s="1"/>
      <c r="C72" s="1"/>
      <c r="D72" s="1"/>
      <c r="E72" s="1"/>
      <c r="F72" s="1"/>
      <c r="G72" s="2"/>
      <c r="H72" s="2"/>
    </row>
    <row r="73" spans="1:8" x14ac:dyDescent="0.25">
      <c r="A73" s="1"/>
      <c r="C73" s="1"/>
      <c r="D73" s="1"/>
      <c r="E73" s="1"/>
      <c r="F73" s="1"/>
      <c r="G73" s="2"/>
      <c r="H73" s="2"/>
    </row>
    <row r="74" spans="1:8" x14ac:dyDescent="0.25">
      <c r="A74" s="1"/>
      <c r="C74" s="1"/>
      <c r="D74" s="1"/>
      <c r="E74" s="1"/>
      <c r="F74" s="1"/>
      <c r="G74" s="2"/>
      <c r="H74" s="2"/>
    </row>
    <row r="75" spans="1:8" x14ac:dyDescent="0.25">
      <c r="A75" s="1"/>
      <c r="C75" s="1"/>
      <c r="D75" s="1"/>
      <c r="E75" s="1"/>
      <c r="F75" s="1"/>
      <c r="G75" s="2"/>
      <c r="H75" s="2"/>
    </row>
    <row r="76" spans="1:8" x14ac:dyDescent="0.25">
      <c r="A76" s="1"/>
      <c r="C76" s="1"/>
      <c r="D76" s="1"/>
      <c r="E76" s="1"/>
      <c r="F76" s="1"/>
      <c r="G76" s="2"/>
      <c r="H76" s="2"/>
    </row>
    <row r="77" spans="1:8" x14ac:dyDescent="0.25">
      <c r="A77" s="1"/>
      <c r="C77" s="1"/>
      <c r="D77" s="1"/>
      <c r="E77" s="1"/>
      <c r="F77" s="1"/>
      <c r="G77" s="2"/>
      <c r="H77" s="2"/>
    </row>
    <row r="78" spans="1:8" x14ac:dyDescent="0.25">
      <c r="A78" s="1"/>
      <c r="C78" s="1"/>
      <c r="D78" s="1"/>
      <c r="E78" s="1"/>
      <c r="F78" s="1"/>
      <c r="G78" s="2"/>
      <c r="H78" s="2"/>
    </row>
    <row r="79" spans="1:8" x14ac:dyDescent="0.25">
      <c r="A79" s="1"/>
      <c r="C79" s="1"/>
      <c r="D79" s="1"/>
      <c r="E79" s="1"/>
      <c r="F79" s="1"/>
      <c r="G79" s="2"/>
      <c r="H79" s="2"/>
    </row>
    <row r="80" spans="1:8" x14ac:dyDescent="0.25">
      <c r="A80" s="1"/>
      <c r="C80" s="1"/>
      <c r="D80" s="1"/>
      <c r="E80" s="1"/>
      <c r="F80" s="1"/>
      <c r="G80" s="2"/>
      <c r="H80" s="2"/>
    </row>
    <row r="81" spans="1:8" x14ac:dyDescent="0.25">
      <c r="A81" s="1"/>
      <c r="C81" s="1"/>
      <c r="D81" s="1"/>
      <c r="E81" s="1"/>
      <c r="F81" s="1"/>
      <c r="G81" s="2"/>
      <c r="H81" s="2"/>
    </row>
    <row r="82" spans="1:8" x14ac:dyDescent="0.25">
      <c r="A82" s="1"/>
      <c r="C82" s="1"/>
      <c r="D82" s="1"/>
      <c r="E82" s="1"/>
      <c r="F82" s="1"/>
      <c r="G82" s="2"/>
      <c r="H82" s="2"/>
    </row>
    <row r="83" spans="1:8" x14ac:dyDescent="0.25">
      <c r="A83" s="1"/>
      <c r="C83" s="1"/>
      <c r="D83" s="1"/>
      <c r="E83" s="1"/>
      <c r="F83" s="1"/>
      <c r="G83" s="2"/>
      <c r="H83" s="2"/>
    </row>
    <row r="84" spans="1:8" x14ac:dyDescent="0.25">
      <c r="A84" s="1"/>
      <c r="C84" s="1"/>
      <c r="D84" s="1"/>
      <c r="E84" s="1"/>
      <c r="F84" s="1"/>
      <c r="G84" s="2"/>
      <c r="H84" s="2"/>
    </row>
    <row r="85" spans="1:8" x14ac:dyDescent="0.25">
      <c r="A85" s="1"/>
      <c r="C85" s="1"/>
      <c r="D85" s="1"/>
      <c r="E85" s="1"/>
      <c r="F85" s="1"/>
      <c r="G85" s="2"/>
      <c r="H85" s="2"/>
    </row>
    <row r="86" spans="1:8" x14ac:dyDescent="0.25">
      <c r="A86" s="1"/>
      <c r="C86" s="1"/>
      <c r="D86" s="1"/>
      <c r="E86" s="1"/>
      <c r="F86" s="1"/>
      <c r="G86" s="2"/>
      <c r="H86" s="2"/>
    </row>
    <row r="87" spans="1:8" x14ac:dyDescent="0.25">
      <c r="A87" s="1"/>
      <c r="C87" s="1"/>
      <c r="D87" s="1"/>
      <c r="E87" s="1"/>
      <c r="F87" s="1"/>
      <c r="G87" s="2"/>
      <c r="H87" s="2"/>
    </row>
    <row r="88" spans="1:8" x14ac:dyDescent="0.25">
      <c r="A88" s="1"/>
      <c r="C88" s="1"/>
      <c r="D88" s="1"/>
      <c r="E88" s="1"/>
      <c r="F88" s="1"/>
      <c r="G88" s="2"/>
      <c r="H88" s="2"/>
    </row>
    <row r="89" spans="1:8" x14ac:dyDescent="0.25">
      <c r="A89" s="1"/>
      <c r="C89" s="1"/>
      <c r="D89" s="1"/>
      <c r="E89" s="1"/>
      <c r="F89" s="1"/>
      <c r="G89" s="2"/>
      <c r="H89" s="2"/>
    </row>
    <row r="90" spans="1:8" x14ac:dyDescent="0.25">
      <c r="A90" s="1"/>
      <c r="C90" s="1"/>
      <c r="D90" s="1"/>
      <c r="E90" s="1"/>
      <c r="F90" s="1"/>
      <c r="G90" s="2"/>
      <c r="H90" s="2"/>
    </row>
    <row r="91" spans="1:8" x14ac:dyDescent="0.25">
      <c r="A91" s="1"/>
      <c r="C91" s="1"/>
      <c r="D91" s="1"/>
      <c r="E91" s="1"/>
      <c r="F91" s="1"/>
      <c r="G91" s="2"/>
      <c r="H91" s="2"/>
    </row>
    <row r="92" spans="1:8" x14ac:dyDescent="0.25">
      <c r="A92" s="1"/>
      <c r="C92" s="1"/>
      <c r="D92" s="1"/>
      <c r="E92" s="1"/>
      <c r="F92" s="1"/>
      <c r="G92" s="2"/>
      <c r="H92" s="2"/>
    </row>
    <row r="93" spans="1:8" x14ac:dyDescent="0.25">
      <c r="A93" s="1"/>
      <c r="C93" s="1"/>
      <c r="D93" s="1"/>
      <c r="E93" s="1"/>
      <c r="F93" s="1"/>
      <c r="G93" s="2"/>
      <c r="H93" s="2"/>
    </row>
    <row r="94" spans="1:8" x14ac:dyDescent="0.25">
      <c r="A94" s="1"/>
      <c r="C94" s="1"/>
      <c r="D94" s="1"/>
      <c r="E94" s="1"/>
      <c r="F94" s="1"/>
      <c r="G94" s="2"/>
      <c r="H94" s="2"/>
    </row>
    <row r="95" spans="1:8" x14ac:dyDescent="0.25">
      <c r="A95" s="1"/>
      <c r="C95" s="1"/>
      <c r="D95" s="1"/>
      <c r="E95" s="1"/>
      <c r="F95" s="1"/>
      <c r="G95" s="2"/>
      <c r="H95" s="2"/>
    </row>
    <row r="96" spans="1:8" x14ac:dyDescent="0.25">
      <c r="A96" s="1"/>
      <c r="C96" s="1"/>
      <c r="D96" s="1"/>
      <c r="E96" s="1"/>
      <c r="F96" s="1"/>
      <c r="G96" s="2"/>
      <c r="H96" s="2"/>
    </row>
    <row r="97" spans="1:8" x14ac:dyDescent="0.25">
      <c r="A97" s="1"/>
      <c r="C97" s="1"/>
      <c r="D97" s="1"/>
      <c r="E97" s="1"/>
      <c r="F97" s="1"/>
      <c r="G97" s="2"/>
      <c r="H97" s="2"/>
    </row>
    <row r="98" spans="1:8" x14ac:dyDescent="0.25">
      <c r="A98" s="1"/>
      <c r="C98" s="1"/>
      <c r="D98" s="1"/>
      <c r="E98" s="1"/>
      <c r="F98" s="1"/>
      <c r="G98" s="2"/>
      <c r="H98" s="2"/>
    </row>
    <row r="99" spans="1:8" x14ac:dyDescent="0.25">
      <c r="A99" s="1"/>
      <c r="C99" s="1"/>
      <c r="D99" s="1"/>
      <c r="E99" s="1"/>
      <c r="F99" s="1"/>
      <c r="G99" s="2"/>
      <c r="H99" s="2"/>
    </row>
    <row r="100" spans="1:8" x14ac:dyDescent="0.25">
      <c r="A100" s="1"/>
      <c r="C100" s="1"/>
      <c r="D100" s="1"/>
      <c r="E100" s="1"/>
      <c r="F100" s="1"/>
      <c r="G100" s="2"/>
      <c r="H100" s="2"/>
    </row>
    <row r="101" spans="1:8" x14ac:dyDescent="0.25">
      <c r="A101" s="1"/>
      <c r="C101" s="1"/>
      <c r="D101" s="1"/>
      <c r="E101" s="1"/>
      <c r="F101" s="1"/>
      <c r="G101" s="2"/>
      <c r="H101" s="2"/>
    </row>
    <row r="102" spans="1:8" x14ac:dyDescent="0.25">
      <c r="A102" s="1"/>
      <c r="C102" s="1"/>
      <c r="D102" s="1"/>
      <c r="E102" s="1"/>
      <c r="F102" s="1"/>
      <c r="G102" s="2"/>
      <c r="H102" s="2"/>
    </row>
    <row r="103" spans="1:8" x14ac:dyDescent="0.25">
      <c r="A103" s="1"/>
      <c r="C103" s="1"/>
      <c r="D103" s="1"/>
      <c r="E103" s="1"/>
      <c r="F103" s="1"/>
      <c r="G103" s="2"/>
      <c r="H103" s="2"/>
    </row>
    <row r="104" spans="1:8" x14ac:dyDescent="0.25">
      <c r="A104" s="1"/>
      <c r="C104" s="1"/>
      <c r="D104" s="1"/>
      <c r="E104" s="1"/>
      <c r="F104" s="1"/>
      <c r="G104" s="2"/>
      <c r="H104" s="2"/>
    </row>
    <row r="105" spans="1:8" x14ac:dyDescent="0.25">
      <c r="A105" s="1"/>
      <c r="C105" s="1"/>
      <c r="D105" s="1"/>
      <c r="E105" s="1"/>
      <c r="F105" s="1"/>
      <c r="G105" s="2"/>
      <c r="H105" s="2"/>
    </row>
    <row r="106" spans="1:8" x14ac:dyDescent="0.25">
      <c r="A106" s="1"/>
      <c r="C106" s="1"/>
      <c r="D106" s="1"/>
      <c r="E106" s="1"/>
      <c r="F106" s="1"/>
      <c r="G106" s="2"/>
      <c r="H106" s="2"/>
    </row>
    <row r="107" spans="1:8" x14ac:dyDescent="0.25">
      <c r="A107" s="1"/>
      <c r="C107" s="1"/>
      <c r="D107" s="1"/>
      <c r="E107" s="1"/>
      <c r="F107" s="1"/>
      <c r="G107" s="2"/>
      <c r="H107" s="2"/>
    </row>
    <row r="108" spans="1:8" x14ac:dyDescent="0.25">
      <c r="A108" s="1"/>
      <c r="C108" s="1"/>
      <c r="D108" s="1"/>
      <c r="E108" s="1"/>
      <c r="F108" s="1"/>
      <c r="G108" s="2"/>
      <c r="H108" s="2"/>
    </row>
    <row r="109" spans="1:8" x14ac:dyDescent="0.25">
      <c r="A109" s="1"/>
      <c r="C109" s="1"/>
      <c r="D109" s="1"/>
      <c r="E109" s="1"/>
      <c r="F109" s="1"/>
      <c r="G109" s="2"/>
      <c r="H109" s="2"/>
    </row>
    <row r="110" spans="1:8" x14ac:dyDescent="0.25">
      <c r="A110" s="1"/>
      <c r="C110" s="1"/>
      <c r="D110" s="1"/>
      <c r="E110" s="1"/>
      <c r="F110" s="1"/>
      <c r="G110" s="2"/>
      <c r="H110" s="2"/>
    </row>
    <row r="111" spans="1:8" x14ac:dyDescent="0.25">
      <c r="A111" s="1"/>
      <c r="C111" s="1"/>
      <c r="D111" s="1"/>
      <c r="E111" s="1"/>
      <c r="F111" s="1"/>
      <c r="G111" s="2"/>
      <c r="H111" s="2"/>
    </row>
    <row r="112" spans="1:8" x14ac:dyDescent="0.25">
      <c r="A112" s="1"/>
      <c r="C112" s="1"/>
      <c r="D112" s="1"/>
      <c r="E112" s="1"/>
      <c r="F112" s="1"/>
      <c r="G112" s="2"/>
      <c r="H112" s="2"/>
    </row>
    <row r="113" spans="1:8" x14ac:dyDescent="0.25">
      <c r="A113" s="1"/>
      <c r="C113" s="1"/>
      <c r="D113" s="1"/>
      <c r="E113" s="1"/>
      <c r="F113" s="1"/>
      <c r="G113" s="2"/>
      <c r="H113" s="2"/>
    </row>
    <row r="114" spans="1:8" x14ac:dyDescent="0.25">
      <c r="A114" s="1"/>
      <c r="C114" s="1"/>
      <c r="D114" s="1"/>
      <c r="E114" s="1"/>
      <c r="F114" s="1"/>
      <c r="G114" s="2"/>
      <c r="H114" s="2"/>
    </row>
    <row r="115" spans="1:8" x14ac:dyDescent="0.25">
      <c r="A115" s="1"/>
      <c r="C115" s="1"/>
      <c r="D115" s="1"/>
      <c r="E115" s="1"/>
      <c r="F115" s="1"/>
      <c r="G115" s="2"/>
      <c r="H115" s="2"/>
    </row>
    <row r="116" spans="1:8" x14ac:dyDescent="0.25">
      <c r="A116" s="1"/>
      <c r="C116" s="1"/>
      <c r="D116" s="1"/>
      <c r="E116" s="1"/>
      <c r="F116" s="1"/>
      <c r="G116" s="2"/>
      <c r="H116" s="2"/>
    </row>
    <row r="117" spans="1:8" x14ac:dyDescent="0.25">
      <c r="A117" s="1"/>
      <c r="C117" s="1"/>
      <c r="D117" s="1"/>
      <c r="E117" s="1"/>
      <c r="F117" s="1"/>
      <c r="G117" s="2"/>
      <c r="H117" s="2"/>
    </row>
    <row r="118" spans="1:8" x14ac:dyDescent="0.25">
      <c r="A118" s="1"/>
      <c r="C118" s="1"/>
      <c r="D118" s="1"/>
      <c r="E118" s="1"/>
      <c r="F118" s="1"/>
      <c r="G118" s="2"/>
      <c r="H118" s="2"/>
    </row>
    <row r="119" spans="1:8" x14ac:dyDescent="0.25">
      <c r="A119" s="1"/>
      <c r="C119" s="1"/>
      <c r="D119" s="1"/>
      <c r="E119" s="1"/>
      <c r="F119" s="1"/>
      <c r="G119" s="2"/>
      <c r="H119" s="2"/>
    </row>
    <row r="120" spans="1:8" x14ac:dyDescent="0.25">
      <c r="A120" s="1"/>
      <c r="C120" s="1"/>
      <c r="D120" s="1"/>
      <c r="E120" s="1"/>
      <c r="F120" s="1"/>
      <c r="G120" s="2"/>
      <c r="H120" s="2"/>
    </row>
    <row r="121" spans="1:8" x14ac:dyDescent="0.25">
      <c r="A121" s="1"/>
      <c r="C121" s="1"/>
      <c r="D121" s="1"/>
      <c r="E121" s="1"/>
      <c r="F121" s="1"/>
      <c r="G121" s="2"/>
      <c r="H121" s="2"/>
    </row>
    <row r="122" spans="1:8" x14ac:dyDescent="0.25">
      <c r="A122" s="1"/>
      <c r="C122" s="1"/>
      <c r="D122" s="1"/>
      <c r="E122" s="1"/>
      <c r="F122" s="1"/>
      <c r="G122" s="2"/>
      <c r="H122" s="2"/>
    </row>
    <row r="123" spans="1:8" x14ac:dyDescent="0.25">
      <c r="A123" s="1"/>
      <c r="C123" s="1"/>
      <c r="D123" s="1"/>
      <c r="E123" s="1"/>
      <c r="F123" s="1"/>
      <c r="G123" s="2"/>
      <c r="H123" s="2"/>
    </row>
    <row r="124" spans="1:8" x14ac:dyDescent="0.25">
      <c r="A124" s="1"/>
      <c r="C124" s="1"/>
      <c r="D124" s="1"/>
      <c r="E124" s="1"/>
      <c r="F124" s="1"/>
      <c r="G124" s="2"/>
      <c r="H124" s="2"/>
    </row>
    <row r="125" spans="1:8" x14ac:dyDescent="0.25">
      <c r="A125" s="1"/>
      <c r="C125" s="1"/>
      <c r="D125" s="1"/>
      <c r="E125" s="1"/>
      <c r="F125" s="1"/>
      <c r="G125" s="2"/>
      <c r="H125" s="2"/>
    </row>
    <row r="126" spans="1:8" x14ac:dyDescent="0.25">
      <c r="A126" s="1"/>
      <c r="C126" s="1"/>
      <c r="D126" s="1"/>
      <c r="E126" s="1"/>
      <c r="F126" s="1"/>
      <c r="G126" s="2"/>
      <c r="H126" s="2"/>
    </row>
    <row r="127" spans="1:8" x14ac:dyDescent="0.25">
      <c r="A127" s="1"/>
      <c r="C127" s="1"/>
      <c r="D127" s="1"/>
      <c r="E127" s="1"/>
      <c r="F127" s="1"/>
      <c r="G127" s="2"/>
      <c r="H127" s="2"/>
    </row>
    <row r="128" spans="1:8" x14ac:dyDescent="0.25">
      <c r="A128" s="1"/>
      <c r="C128" s="1"/>
      <c r="D128" s="1"/>
      <c r="E128" s="1"/>
      <c r="F128" s="1"/>
      <c r="G128" s="2"/>
      <c r="H128" s="2"/>
    </row>
    <row r="129" spans="1:8" x14ac:dyDescent="0.25">
      <c r="A129" s="1"/>
      <c r="C129" s="1"/>
      <c r="D129" s="1"/>
      <c r="E129" s="1"/>
      <c r="F129" s="1"/>
      <c r="G129" s="2"/>
      <c r="H129" s="2"/>
    </row>
    <row r="130" spans="1:8" x14ac:dyDescent="0.25">
      <c r="A130" s="1"/>
      <c r="C130" s="1"/>
      <c r="D130" s="1"/>
      <c r="E130" s="1"/>
      <c r="F130" s="1"/>
      <c r="G130" s="2"/>
      <c r="H130" s="2"/>
    </row>
    <row r="131" spans="1:8" x14ac:dyDescent="0.25">
      <c r="A131" s="1"/>
      <c r="C131" s="1"/>
      <c r="D131" s="1"/>
      <c r="E131" s="1"/>
      <c r="F131" s="1"/>
      <c r="G131" s="2"/>
      <c r="H131" s="2"/>
    </row>
    <row r="132" spans="1:8" x14ac:dyDescent="0.25">
      <c r="A132" s="1"/>
      <c r="C132" s="1"/>
      <c r="D132" s="1"/>
      <c r="E132" s="1"/>
      <c r="F132" s="1"/>
      <c r="G132" s="2"/>
      <c r="H132" s="2"/>
    </row>
    <row r="133" spans="1:8" x14ac:dyDescent="0.25">
      <c r="A133" s="1"/>
      <c r="C133" s="1"/>
      <c r="D133" s="1"/>
      <c r="E133" s="1"/>
      <c r="F133" s="1"/>
      <c r="G133" s="2"/>
      <c r="H133" s="2"/>
    </row>
    <row r="134" spans="1:8" x14ac:dyDescent="0.25">
      <c r="A134" s="1"/>
      <c r="C134" s="1"/>
      <c r="D134" s="1"/>
      <c r="E134" s="1"/>
      <c r="F134" s="1"/>
      <c r="G134" s="2"/>
      <c r="H134" s="2"/>
    </row>
    <row r="135" spans="1:8" x14ac:dyDescent="0.25">
      <c r="A135" s="1"/>
      <c r="C135" s="1"/>
      <c r="D135" s="1"/>
      <c r="E135" s="1"/>
      <c r="F135" s="1"/>
      <c r="G135" s="2"/>
      <c r="H135" s="2"/>
    </row>
    <row r="136" spans="1:8" x14ac:dyDescent="0.25">
      <c r="A136" s="1"/>
      <c r="C136" s="1"/>
      <c r="D136" s="1"/>
      <c r="E136" s="1"/>
      <c r="F136" s="1"/>
      <c r="G136" s="2"/>
      <c r="H136" s="2"/>
    </row>
    <row r="137" spans="1:8" x14ac:dyDescent="0.25">
      <c r="A137" s="1"/>
      <c r="C137" s="1"/>
      <c r="D137" s="1"/>
      <c r="E137" s="1"/>
      <c r="F137" s="1"/>
      <c r="G137" s="2"/>
      <c r="H137" s="2"/>
    </row>
    <row r="138" spans="1:8" x14ac:dyDescent="0.25">
      <c r="A138" s="1"/>
      <c r="C138" s="1"/>
      <c r="D138" s="1"/>
      <c r="E138" s="1"/>
      <c r="F138" s="1"/>
      <c r="G138" s="2"/>
      <c r="H138" s="2"/>
    </row>
    <row r="139" spans="1:8" x14ac:dyDescent="0.25">
      <c r="A139" s="1"/>
      <c r="C139" s="1"/>
      <c r="D139" s="1"/>
      <c r="E139" s="1"/>
      <c r="F139" s="1"/>
      <c r="G139" s="2"/>
      <c r="H139" s="2"/>
    </row>
    <row r="140" spans="1:8" x14ac:dyDescent="0.25">
      <c r="A140" s="1"/>
      <c r="C140" s="1"/>
      <c r="D140" s="1"/>
      <c r="E140" s="1"/>
      <c r="F140" s="1"/>
      <c r="G140" s="2"/>
      <c r="H140" s="2"/>
    </row>
    <row r="141" spans="1:8" x14ac:dyDescent="0.25">
      <c r="A141" s="1"/>
      <c r="C141" s="1"/>
      <c r="D141" s="1"/>
      <c r="E141" s="1"/>
      <c r="F141" s="1"/>
      <c r="G141" s="2"/>
      <c r="H141" s="2"/>
    </row>
    <row r="142" spans="1:8" x14ac:dyDescent="0.25">
      <c r="A142" s="1"/>
      <c r="C142" s="1"/>
      <c r="D142" s="1"/>
      <c r="E142" s="1"/>
      <c r="F142" s="1"/>
      <c r="G142" s="2"/>
      <c r="H142" s="2"/>
    </row>
    <row r="143" spans="1:8" x14ac:dyDescent="0.25">
      <c r="A143" s="1"/>
      <c r="C143" s="1"/>
      <c r="D143" s="1"/>
      <c r="E143" s="1"/>
      <c r="F143" s="1"/>
      <c r="G143" s="2"/>
      <c r="H143" s="2"/>
    </row>
    <row r="144" spans="1:8" x14ac:dyDescent="0.25">
      <c r="A144" s="1"/>
      <c r="C144" s="1"/>
      <c r="D144" s="1"/>
      <c r="E144" s="1"/>
      <c r="F144" s="1"/>
      <c r="G144" s="2"/>
      <c r="H144" s="2"/>
    </row>
    <row r="145" spans="1:8" x14ac:dyDescent="0.25">
      <c r="A145" s="1"/>
      <c r="C145" s="1"/>
      <c r="D145" s="1"/>
      <c r="E145" s="1"/>
      <c r="F145" s="1"/>
      <c r="G145" s="2"/>
      <c r="H145" s="2"/>
    </row>
    <row r="146" spans="1:8" x14ac:dyDescent="0.25">
      <c r="A146" s="1"/>
      <c r="C146" s="1"/>
      <c r="D146" s="1"/>
      <c r="E146" s="1"/>
      <c r="F146" s="1"/>
      <c r="G146" s="2"/>
      <c r="H146" s="2"/>
    </row>
    <row r="147" spans="1:8" x14ac:dyDescent="0.25">
      <c r="A147" s="1"/>
      <c r="C147" s="1"/>
      <c r="D147" s="1"/>
      <c r="E147" s="1"/>
      <c r="F147" s="1"/>
      <c r="G147" s="2"/>
      <c r="H147" s="2"/>
    </row>
    <row r="148" spans="1:8" x14ac:dyDescent="0.25">
      <c r="A148" s="1"/>
      <c r="C148" s="1"/>
      <c r="D148" s="1"/>
      <c r="E148" s="1"/>
      <c r="F148" s="1"/>
      <c r="G148" s="2"/>
      <c r="H148" s="2"/>
    </row>
    <row r="149" spans="1:8" x14ac:dyDescent="0.25">
      <c r="A149" s="1"/>
      <c r="C149" s="1"/>
      <c r="D149" s="1"/>
      <c r="E149" s="1"/>
      <c r="F149" s="1"/>
      <c r="G149" s="2"/>
      <c r="H149" s="2"/>
    </row>
    <row r="150" spans="1:8" x14ac:dyDescent="0.25">
      <c r="A150" s="1"/>
      <c r="C150" s="1"/>
      <c r="D150" s="1"/>
      <c r="E150" s="1"/>
      <c r="F150" s="1"/>
      <c r="G150" s="2"/>
      <c r="H150" s="2"/>
    </row>
    <row r="151" spans="1:8" x14ac:dyDescent="0.25">
      <c r="A151" s="1"/>
      <c r="C151" s="1"/>
      <c r="D151" s="1"/>
      <c r="E151" s="1"/>
      <c r="F151" s="1"/>
      <c r="G151" s="2"/>
      <c r="H151" s="2"/>
    </row>
    <row r="152" spans="1:8" x14ac:dyDescent="0.25">
      <c r="A152" s="1"/>
      <c r="C152" s="1"/>
      <c r="D152" s="1"/>
      <c r="E152" s="1"/>
      <c r="F152" s="1"/>
      <c r="G152" s="2"/>
      <c r="H152" s="2"/>
    </row>
    <row r="153" spans="1:8" x14ac:dyDescent="0.25">
      <c r="A153" s="1"/>
      <c r="C153" s="1"/>
      <c r="D153" s="1"/>
      <c r="E153" s="1"/>
      <c r="F153" s="1"/>
      <c r="G153" s="2"/>
      <c r="H153" s="2"/>
    </row>
    <row r="154" spans="1:8" x14ac:dyDescent="0.25">
      <c r="A154" s="1"/>
      <c r="C154" s="1"/>
      <c r="D154" s="1"/>
      <c r="E154" s="1"/>
      <c r="F154" s="1"/>
      <c r="G154" s="2"/>
      <c r="H154" s="2"/>
    </row>
    <row r="155" spans="1:8" x14ac:dyDescent="0.25">
      <c r="A155" s="1"/>
      <c r="C155" s="1"/>
      <c r="D155" s="1"/>
      <c r="E155" s="1"/>
      <c r="F155" s="1"/>
      <c r="G155" s="2"/>
      <c r="H155" s="2"/>
    </row>
    <row r="156" spans="1:8" x14ac:dyDescent="0.25">
      <c r="A156" s="1"/>
      <c r="C156" s="1"/>
      <c r="D156" s="1"/>
      <c r="E156" s="1"/>
      <c r="F156" s="1"/>
      <c r="G156" s="2"/>
      <c r="H156" s="2"/>
    </row>
    <row r="157" spans="1:8" x14ac:dyDescent="0.25">
      <c r="A157" s="1"/>
      <c r="C157" s="1"/>
      <c r="D157" s="1"/>
      <c r="E157" s="1"/>
      <c r="F157" s="1"/>
      <c r="G157" s="2"/>
      <c r="H157" s="2"/>
    </row>
    <row r="158" spans="1:8" x14ac:dyDescent="0.25">
      <c r="A158" s="1"/>
      <c r="C158" s="1"/>
      <c r="D158" s="1"/>
      <c r="E158" s="1"/>
      <c r="F158" s="1"/>
      <c r="G158" s="2"/>
      <c r="H158" s="2"/>
    </row>
    <row r="159" spans="1:8" x14ac:dyDescent="0.25">
      <c r="A159" s="1"/>
      <c r="C159" s="1"/>
      <c r="D159" s="1"/>
      <c r="E159" s="1"/>
      <c r="F159" s="1"/>
      <c r="G159" s="2"/>
      <c r="H159" s="2"/>
    </row>
    <row r="160" spans="1:8" x14ac:dyDescent="0.25">
      <c r="A160" s="1"/>
      <c r="C160" s="1"/>
      <c r="D160" s="1"/>
      <c r="E160" s="1"/>
      <c r="F160" s="1"/>
      <c r="G160" s="2"/>
      <c r="H160" s="2"/>
    </row>
    <row r="161" spans="1:8" x14ac:dyDescent="0.25">
      <c r="A161" s="1"/>
      <c r="C161" s="1"/>
      <c r="D161" s="1"/>
      <c r="E161" s="1"/>
      <c r="F161" s="1"/>
      <c r="G161" s="2"/>
      <c r="H161" s="2"/>
    </row>
    <row r="162" spans="1:8" x14ac:dyDescent="0.25">
      <c r="A162" s="1"/>
      <c r="C162" s="1"/>
      <c r="D162" s="1"/>
      <c r="E162" s="1"/>
      <c r="F162" s="1"/>
      <c r="G162" s="2"/>
      <c r="H162" s="2"/>
    </row>
    <row r="163" spans="1:8" x14ac:dyDescent="0.25">
      <c r="A163" s="1"/>
      <c r="C163" s="1"/>
      <c r="D163" s="1"/>
      <c r="E163" s="1"/>
      <c r="F163" s="1"/>
      <c r="G163" s="2"/>
      <c r="H163" s="2"/>
    </row>
    <row r="164" spans="1:8" x14ac:dyDescent="0.25">
      <c r="A164" s="1"/>
      <c r="C164" s="1"/>
      <c r="D164" s="1"/>
      <c r="E164" s="1"/>
      <c r="F164" s="1"/>
      <c r="G164" s="2"/>
      <c r="H164" s="2"/>
    </row>
    <row r="165" spans="1:8" x14ac:dyDescent="0.25">
      <c r="A165" s="1"/>
      <c r="C165" s="1"/>
      <c r="D165" s="1"/>
      <c r="E165" s="1"/>
      <c r="F165" s="1"/>
      <c r="G165" s="2"/>
      <c r="H165" s="2"/>
    </row>
    <row r="166" spans="1:8" x14ac:dyDescent="0.25">
      <c r="A166" s="1"/>
      <c r="C166" s="1"/>
      <c r="D166" s="1"/>
      <c r="E166" s="1"/>
      <c r="F166" s="1"/>
      <c r="G166" s="2"/>
      <c r="H166" s="2"/>
    </row>
    <row r="167" spans="1:8" x14ac:dyDescent="0.25">
      <c r="A167" s="1"/>
      <c r="C167" s="1"/>
      <c r="D167" s="1"/>
      <c r="E167" s="1"/>
      <c r="F167" s="1"/>
      <c r="G167" s="2"/>
      <c r="H167" s="2"/>
    </row>
    <row r="168" spans="1:8" x14ac:dyDescent="0.25">
      <c r="A168" s="1"/>
      <c r="C168" s="1"/>
      <c r="D168" s="1"/>
      <c r="E168" s="1"/>
      <c r="F168" s="1"/>
      <c r="G168" s="2"/>
      <c r="H168" s="2"/>
    </row>
    <row r="169" spans="1:8" x14ac:dyDescent="0.25">
      <c r="A169" s="1"/>
      <c r="C169" s="1"/>
      <c r="D169" s="1"/>
      <c r="E169" s="1"/>
      <c r="F169" s="1"/>
      <c r="G169" s="2"/>
      <c r="H169" s="2"/>
    </row>
    <row r="170" spans="1:8" x14ac:dyDescent="0.25">
      <c r="A170" s="1"/>
      <c r="C170" s="1"/>
      <c r="D170" s="1"/>
      <c r="E170" s="1"/>
      <c r="F170" s="1"/>
      <c r="G170" s="2"/>
      <c r="H170" s="2"/>
    </row>
    <row r="171" spans="1:8" x14ac:dyDescent="0.25">
      <c r="A171" s="1"/>
      <c r="C171" s="1"/>
      <c r="D171" s="1"/>
      <c r="E171" s="1"/>
      <c r="F171" s="1"/>
      <c r="G171" s="2"/>
      <c r="H171" s="2"/>
    </row>
    <row r="172" spans="1:8" x14ac:dyDescent="0.25">
      <c r="A172" s="1"/>
      <c r="C172" s="1"/>
      <c r="D172" s="1"/>
      <c r="E172" s="1"/>
      <c r="F172" s="1"/>
      <c r="G172" s="2"/>
      <c r="H172" s="2"/>
    </row>
    <row r="173" spans="1:8" x14ac:dyDescent="0.25">
      <c r="A173" s="1"/>
      <c r="C173" s="1"/>
      <c r="D173" s="1"/>
      <c r="E173" s="1"/>
      <c r="F173" s="1"/>
      <c r="G173" s="2"/>
      <c r="H173" s="2"/>
    </row>
    <row r="174" spans="1:8" x14ac:dyDescent="0.25">
      <c r="A174" s="1"/>
      <c r="C174" s="1"/>
      <c r="D174" s="1"/>
      <c r="E174" s="1"/>
      <c r="F174" s="1"/>
      <c r="G174" s="2"/>
      <c r="H174" s="2"/>
    </row>
    <row r="175" spans="1:8" x14ac:dyDescent="0.25">
      <c r="A175" s="1"/>
      <c r="C175" s="1"/>
      <c r="D175" s="1"/>
      <c r="E175" s="1"/>
      <c r="F175" s="1"/>
      <c r="G175" s="2"/>
      <c r="H175" s="2"/>
    </row>
    <row r="176" spans="1:8" x14ac:dyDescent="0.25">
      <c r="A176" s="1"/>
      <c r="C176" s="1"/>
      <c r="D176" s="1"/>
      <c r="E176" s="1"/>
      <c r="F176" s="1"/>
      <c r="G176" s="2"/>
      <c r="H176" s="2"/>
    </row>
    <row r="177" spans="1:8" x14ac:dyDescent="0.25">
      <c r="A177" s="1"/>
      <c r="C177" s="1"/>
      <c r="D177" s="1"/>
      <c r="E177" s="1"/>
      <c r="F177" s="1"/>
      <c r="G177" s="2"/>
      <c r="H177" s="2"/>
    </row>
    <row r="178" spans="1:8" x14ac:dyDescent="0.25">
      <c r="A178" s="1"/>
      <c r="C178" s="1"/>
      <c r="D178" s="1"/>
      <c r="E178" s="1"/>
      <c r="F178" s="1"/>
      <c r="G178" s="2"/>
      <c r="H178" s="2"/>
    </row>
    <row r="179" spans="1:8" x14ac:dyDescent="0.25">
      <c r="A179" s="1"/>
      <c r="C179" s="1"/>
      <c r="D179" s="1"/>
      <c r="E179" s="1"/>
      <c r="F179" s="1"/>
      <c r="G179" s="2"/>
      <c r="H179" s="2"/>
    </row>
    <row r="180" spans="1:8" x14ac:dyDescent="0.25">
      <c r="A180" s="1"/>
      <c r="C180" s="1"/>
      <c r="D180" s="1"/>
      <c r="E180" s="1"/>
      <c r="F180" s="1"/>
      <c r="G180" s="2"/>
      <c r="H180" s="2"/>
    </row>
    <row r="181" spans="1:8" x14ac:dyDescent="0.25">
      <c r="A181" s="1"/>
      <c r="C181" s="1"/>
      <c r="D181" s="1"/>
      <c r="E181" s="1"/>
      <c r="F181" s="1"/>
      <c r="G181" s="2"/>
      <c r="H181" s="2"/>
    </row>
    <row r="182" spans="1:8" x14ac:dyDescent="0.25">
      <c r="A182" s="1"/>
      <c r="C182" s="1"/>
      <c r="D182" s="1"/>
      <c r="E182" s="1"/>
      <c r="F182" s="1"/>
      <c r="G182" s="2"/>
      <c r="H182" s="2"/>
    </row>
    <row r="183" spans="1:8" x14ac:dyDescent="0.25">
      <c r="A183" s="1"/>
      <c r="C183" s="1"/>
      <c r="D183" s="1"/>
      <c r="E183" s="1"/>
      <c r="F183" s="1"/>
      <c r="G183" s="2"/>
      <c r="H183" s="2"/>
    </row>
    <row r="184" spans="1:8" x14ac:dyDescent="0.25">
      <c r="A184" s="1"/>
      <c r="C184" s="1"/>
      <c r="D184" s="1"/>
      <c r="E184" s="1"/>
      <c r="F184" s="1"/>
      <c r="G184" s="2"/>
      <c r="H184" s="2"/>
    </row>
    <row r="185" spans="1:8" x14ac:dyDescent="0.25">
      <c r="A185" s="1"/>
      <c r="C185" s="1"/>
      <c r="D185" s="1"/>
      <c r="E185" s="1"/>
      <c r="F185" s="1"/>
      <c r="G185" s="2"/>
      <c r="H185" s="2"/>
    </row>
    <row r="186" spans="1:8" x14ac:dyDescent="0.25">
      <c r="A186" s="1"/>
      <c r="C186" s="1"/>
      <c r="D186" s="1"/>
      <c r="E186" s="1"/>
      <c r="F186" s="1"/>
      <c r="G186" s="2"/>
      <c r="H186" s="2"/>
    </row>
    <row r="187" spans="1:8" x14ac:dyDescent="0.25">
      <c r="A187" s="1"/>
      <c r="C187" s="1"/>
      <c r="D187" s="1"/>
      <c r="E187" s="1"/>
      <c r="F187" s="1"/>
      <c r="G187" s="2"/>
      <c r="H187" s="2"/>
    </row>
    <row r="188" spans="1:8" x14ac:dyDescent="0.25">
      <c r="A188" s="1"/>
      <c r="C188" s="1"/>
      <c r="D188" s="1"/>
      <c r="E188" s="1"/>
      <c r="F188" s="1"/>
      <c r="G188" s="2"/>
      <c r="H188" s="2"/>
    </row>
    <row r="189" spans="1:8" x14ac:dyDescent="0.25">
      <c r="A189" s="1"/>
      <c r="C189" s="1"/>
      <c r="D189" s="1"/>
      <c r="E189" s="1"/>
      <c r="F189" s="1"/>
      <c r="G189" s="2"/>
      <c r="H189" s="2"/>
    </row>
    <row r="190" spans="1:8" x14ac:dyDescent="0.25">
      <c r="A190" s="1"/>
      <c r="C190" s="1"/>
      <c r="D190" s="1"/>
      <c r="E190" s="1"/>
      <c r="F190" s="1"/>
      <c r="G190" s="2"/>
      <c r="H190" s="2"/>
    </row>
    <row r="191" spans="1:8" x14ac:dyDescent="0.25">
      <c r="A191" s="1"/>
      <c r="C191" s="1"/>
      <c r="D191" s="1"/>
      <c r="E191" s="1"/>
      <c r="F191" s="1"/>
      <c r="G191" s="2"/>
      <c r="H191" s="2"/>
    </row>
    <row r="192" spans="1:8" x14ac:dyDescent="0.25">
      <c r="A192" s="1"/>
      <c r="C192" s="1"/>
      <c r="D192" s="1"/>
      <c r="E192" s="1"/>
      <c r="F192" s="1"/>
      <c r="G192" s="2"/>
      <c r="H192" s="2"/>
    </row>
    <row r="193" spans="1:8" x14ac:dyDescent="0.25">
      <c r="A193" s="1"/>
      <c r="C193" s="1"/>
      <c r="D193" s="1"/>
      <c r="E193" s="1"/>
      <c r="F193" s="1"/>
      <c r="G193" s="2"/>
      <c r="H193" s="2"/>
    </row>
    <row r="194" spans="1:8" x14ac:dyDescent="0.25">
      <c r="A194" s="1"/>
      <c r="C194" s="1"/>
      <c r="D194" s="1"/>
      <c r="E194" s="1"/>
      <c r="F194" s="1"/>
      <c r="G194" s="2"/>
      <c r="H194" s="2"/>
    </row>
    <row r="195" spans="1:8" x14ac:dyDescent="0.25">
      <c r="A195" s="1"/>
      <c r="C195" s="1"/>
      <c r="D195" s="1"/>
      <c r="E195" s="1"/>
      <c r="F195" s="1"/>
      <c r="G195" s="2"/>
      <c r="H195" s="2"/>
    </row>
    <row r="196" spans="1:8" x14ac:dyDescent="0.25">
      <c r="A196" s="1"/>
      <c r="C196" s="1"/>
      <c r="D196" s="1"/>
      <c r="E196" s="1"/>
      <c r="F196" s="1"/>
      <c r="G196" s="2"/>
      <c r="H196" s="2"/>
    </row>
    <row r="197" spans="1:8" x14ac:dyDescent="0.25">
      <c r="A197" s="1"/>
      <c r="C197" s="1"/>
      <c r="D197" s="1"/>
      <c r="E197" s="1"/>
      <c r="F197" s="1"/>
      <c r="G197" s="2"/>
      <c r="H197" s="2"/>
    </row>
    <row r="198" spans="1:8" x14ac:dyDescent="0.25">
      <c r="A198" s="1"/>
      <c r="C198" s="1"/>
      <c r="D198" s="1"/>
      <c r="E198" s="1"/>
      <c r="F198" s="1"/>
      <c r="G198" s="2"/>
      <c r="H198" s="2"/>
    </row>
    <row r="199" spans="1:8" x14ac:dyDescent="0.25">
      <c r="A199" s="1"/>
      <c r="C199" s="1"/>
      <c r="D199" s="1"/>
      <c r="E199" s="1"/>
      <c r="F199" s="1"/>
      <c r="G199" s="2"/>
      <c r="H199" s="2"/>
    </row>
    <row r="200" spans="1:8" x14ac:dyDescent="0.25">
      <c r="A200" s="1"/>
      <c r="C200" s="1"/>
      <c r="D200" s="1"/>
      <c r="E200" s="1"/>
      <c r="F200" s="1"/>
      <c r="G200" s="2"/>
      <c r="H200" s="2"/>
    </row>
  </sheetData>
  <conditionalFormatting sqref="K2:K11">
    <cfRule type="colorScale" priority="1">
      <colorScale>
        <cfvo type="min"/>
        <cfvo type="percentile" val="50"/>
        <cfvo type="max"/>
        <color rgb="FFD9EAD3"/>
        <color rgb="FFFFF2CC"/>
        <color rgb="FFF4CCCC"/>
      </colorScale>
    </cfRule>
  </conditionalFormatting>
  <conditionalFormatting sqref="L2:L11">
    <cfRule type="colorScale" priority="2">
      <colorScale>
        <cfvo type="min"/>
        <cfvo type="percentile" val="50"/>
        <cfvo type="max"/>
        <color rgb="FFF4CCCC"/>
        <color rgb="FFFFF2CC"/>
        <color rgb="FFD9EAD3"/>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2" sqref="B2:B6"/>
    </sheetView>
  </sheetViews>
  <sheetFormatPr defaultRowHeight="15" x14ac:dyDescent="0.25"/>
  <cols>
    <col min="1" max="1" width="30" customWidth="1"/>
    <col min="2" max="2" width="16" customWidth="1"/>
  </cols>
  <sheetData>
    <row r="1" spans="1:2" ht="24" customHeight="1" x14ac:dyDescent="0.25">
      <c r="A1" s="30" t="s">
        <v>24</v>
      </c>
      <c r="B1" s="30" t="s">
        <v>25</v>
      </c>
    </row>
    <row r="2" spans="1:2" ht="24" customHeight="1" x14ac:dyDescent="0.3">
      <c r="A2" s="31" t="s">
        <v>26</v>
      </c>
      <c r="B2" s="32">
        <f>SUM('Raw Data'!D2:D11)</f>
        <v>2640</v>
      </c>
    </row>
    <row r="3" spans="1:2" ht="24" customHeight="1" x14ac:dyDescent="0.3">
      <c r="A3" s="31" t="s">
        <v>27</v>
      </c>
      <c r="B3" s="32">
        <f>AVERAGE('Raw Data'!D2:D11)</f>
        <v>264</v>
      </c>
    </row>
    <row r="4" spans="1:2" ht="24" customHeight="1" x14ac:dyDescent="0.3">
      <c r="A4" s="31" t="s">
        <v>28</v>
      </c>
      <c r="B4" s="32">
        <f>MAX('Raw Data'!D2:D11)</f>
        <v>833</v>
      </c>
    </row>
    <row r="5" spans="1:2" ht="24" customHeight="1" x14ac:dyDescent="0.3">
      <c r="A5" s="31" t="s">
        <v>29</v>
      </c>
      <c r="B5" s="32">
        <f>SUM('Raw Data'!E2:E11)</f>
        <v>24</v>
      </c>
    </row>
    <row r="6" spans="1:2" ht="24" customHeight="1" x14ac:dyDescent="0.3">
      <c r="A6" s="31" t="s">
        <v>30</v>
      </c>
      <c r="B6" s="32">
        <f>SUM('Raw Data'!F2:F11)</f>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
  <sheetViews>
    <sheetView workbookViewId="0"/>
  </sheetViews>
  <sheetFormatPr defaultRowHeight="15" x14ac:dyDescent="0.25"/>
  <cols>
    <col min="1" max="1" width="18" customWidth="1"/>
    <col min="2" max="2" width="21" customWidth="1"/>
    <col min="3" max="3" width="3" customWidth="1"/>
    <col min="4" max="4" width="18" customWidth="1"/>
    <col min="5" max="5" width="21" customWidth="1"/>
    <col min="6" max="6" width="3" customWidth="1"/>
    <col min="7" max="7" width="18" customWidth="1"/>
    <col min="8" max="8" width="21" customWidth="1"/>
    <col min="9" max="9" width="3" customWidth="1"/>
    <col min="10" max="10" width="18" customWidth="1"/>
    <col min="11" max="11" width="21" customWidth="1"/>
    <col min="12" max="12" width="3" customWidth="1"/>
    <col min="13" max="13" width="18" customWidth="1"/>
    <col min="14" max="14" width="21" customWidth="1"/>
  </cols>
  <sheetData>
    <row r="1" spans="1:14" ht="18.75" x14ac:dyDescent="0.25">
      <c r="A1" s="33" t="s">
        <v>54</v>
      </c>
      <c r="B1" s="33"/>
      <c r="C1" s="33"/>
      <c r="D1" s="33"/>
      <c r="E1" s="33"/>
      <c r="F1" s="33"/>
      <c r="G1" s="33"/>
      <c r="H1" s="33"/>
      <c r="I1" s="33"/>
      <c r="J1" s="33"/>
      <c r="K1" s="33"/>
      <c r="L1" s="33"/>
      <c r="M1" s="33"/>
      <c r="N1" s="33"/>
    </row>
    <row r="2" spans="1:14" x14ac:dyDescent="0.25">
      <c r="A2" s="34" t="s">
        <v>55</v>
      </c>
      <c r="B2" s="34"/>
      <c r="C2" s="34"/>
      <c r="D2" s="34"/>
      <c r="E2" s="34"/>
      <c r="F2" s="34"/>
      <c r="G2" s="34"/>
      <c r="H2" s="34"/>
      <c r="I2" s="34"/>
      <c r="J2" s="34"/>
      <c r="K2" s="34"/>
      <c r="L2" s="34"/>
      <c r="M2" s="34"/>
      <c r="N2" s="34"/>
    </row>
    <row r="3" spans="1:14" x14ac:dyDescent="0.25">
      <c r="A3" s="12"/>
      <c r="B3" s="12"/>
      <c r="C3" s="12"/>
      <c r="D3" s="12"/>
      <c r="E3" s="12"/>
      <c r="F3" s="12"/>
      <c r="G3" s="12"/>
      <c r="H3" s="12"/>
      <c r="I3" s="12"/>
      <c r="J3" s="12"/>
      <c r="K3" s="12"/>
      <c r="L3" s="12"/>
      <c r="M3" s="12"/>
      <c r="N3" s="12"/>
    </row>
    <row r="4" spans="1:14" ht="30" x14ac:dyDescent="0.25">
      <c r="A4" s="13" t="s">
        <v>1</v>
      </c>
      <c r="B4" s="13" t="s">
        <v>3</v>
      </c>
      <c r="C4" s="12"/>
      <c r="D4" s="13" t="s">
        <v>1</v>
      </c>
      <c r="E4" s="13" t="s">
        <v>4</v>
      </c>
      <c r="F4" s="12"/>
      <c r="G4" s="13" t="s">
        <v>1</v>
      </c>
      <c r="H4" s="13" t="s">
        <v>7</v>
      </c>
      <c r="I4" s="12"/>
      <c r="J4" s="13" t="s">
        <v>1</v>
      </c>
      <c r="K4" s="13" t="s">
        <v>56</v>
      </c>
      <c r="L4" s="12"/>
      <c r="M4" s="13" t="s">
        <v>1</v>
      </c>
      <c r="N4" s="13" t="s">
        <v>11</v>
      </c>
    </row>
    <row r="5" spans="1:14" x14ac:dyDescent="0.25">
      <c r="A5" s="14" t="str">
        <f>'Raw Data'!B2</f>
        <v>McLaren</v>
      </c>
      <c r="B5" s="15">
        <f>'Raw Data'!D2</f>
        <v>833</v>
      </c>
      <c r="C5" s="14"/>
      <c r="D5" s="14" t="str">
        <f>'Raw Data'!B2</f>
        <v>McLaren</v>
      </c>
      <c r="E5" s="15">
        <f>'Raw Data'!E2</f>
        <v>14</v>
      </c>
      <c r="F5" s="14"/>
      <c r="G5" s="14" t="str">
        <f>'Raw Data'!B2</f>
        <v>McLaren</v>
      </c>
      <c r="H5" s="16">
        <f>'Raw Data'!H2</f>
        <v>4400</v>
      </c>
      <c r="I5" s="14"/>
      <c r="J5" s="14" t="str">
        <f>'Raw Data'!B2</f>
        <v>McLaren</v>
      </c>
      <c r="K5" s="17">
        <f>'Raw Data'!K2</f>
        <v>0.73709483793517405</v>
      </c>
      <c r="L5" s="14"/>
      <c r="M5" s="14" t="str">
        <f>'Raw Data'!B2</f>
        <v>McLaren</v>
      </c>
      <c r="N5" s="18">
        <f>'Raw Data'!L2</f>
        <v>135.66775244299674</v>
      </c>
    </row>
    <row r="6" spans="1:14" x14ac:dyDescent="0.25">
      <c r="A6" s="14" t="str">
        <f>'Raw Data'!B3</f>
        <v>Mercedes</v>
      </c>
      <c r="B6" s="15">
        <f>'Raw Data'!D3</f>
        <v>469</v>
      </c>
      <c r="C6" s="14"/>
      <c r="D6" s="14" t="str">
        <f>'Raw Data'!B3</f>
        <v>Mercedes</v>
      </c>
      <c r="E6" s="15">
        <f>'Raw Data'!E3</f>
        <v>2</v>
      </c>
      <c r="F6" s="14"/>
      <c r="G6" s="14" t="str">
        <f>'Raw Data'!B3</f>
        <v>Mercedes</v>
      </c>
      <c r="H6" s="16">
        <f>'Raw Data'!H3</f>
        <v>6000</v>
      </c>
      <c r="I6" s="14"/>
      <c r="J6" s="14" t="str">
        <f>'Raw Data'!B3</f>
        <v>Mercedes</v>
      </c>
      <c r="K6" s="17">
        <f>'Raw Data'!K3</f>
        <v>1.7036247334754797</v>
      </c>
      <c r="L6" s="14"/>
      <c r="M6" s="14" t="str">
        <f>'Raw Data'!B3</f>
        <v>Mercedes</v>
      </c>
      <c r="N6" s="18">
        <f>'Raw Data'!L3</f>
        <v>58.698372966207756</v>
      </c>
    </row>
    <row r="7" spans="1:14" x14ac:dyDescent="0.25">
      <c r="A7" s="14" t="str">
        <f>'Raw Data'!B4</f>
        <v>Red Bull Racing</v>
      </c>
      <c r="B7" s="15">
        <f>'Raw Data'!D4</f>
        <v>451</v>
      </c>
      <c r="C7" s="14"/>
      <c r="D7" s="14" t="str">
        <f>'Raw Data'!B4</f>
        <v>Red Bull Racing</v>
      </c>
      <c r="E7" s="15">
        <f>'Raw Data'!E4</f>
        <v>8</v>
      </c>
      <c r="F7" s="14"/>
      <c r="G7" s="14" t="str">
        <f>'Raw Data'!B4</f>
        <v>Red Bull Racing</v>
      </c>
      <c r="H7" s="16">
        <f>'Raw Data'!H4</f>
        <v>4350</v>
      </c>
      <c r="I7" s="14"/>
      <c r="J7" s="14" t="str">
        <f>'Raw Data'!B4</f>
        <v>Red Bull Racing</v>
      </c>
      <c r="K7" s="17">
        <f>'Raw Data'!K4</f>
        <v>1.3702882483370289</v>
      </c>
      <c r="L7" s="14"/>
      <c r="M7" s="14" t="str">
        <f>'Raw Data'!B4</f>
        <v>Red Bull Racing</v>
      </c>
      <c r="N7" s="18">
        <f>'Raw Data'!L4</f>
        <v>72.977346278317157</v>
      </c>
    </row>
    <row r="8" spans="1:14" x14ac:dyDescent="0.25">
      <c r="A8" s="14" t="str">
        <f>'Raw Data'!B5</f>
        <v>Ferrari</v>
      </c>
      <c r="B8" s="15">
        <f>'Raw Data'!D5</f>
        <v>398</v>
      </c>
      <c r="C8" s="14"/>
      <c r="D8" s="14" t="str">
        <f>'Raw Data'!B5</f>
        <v>Ferrari</v>
      </c>
      <c r="E8" s="15">
        <f>'Raw Data'!E5</f>
        <v>0</v>
      </c>
      <c r="F8" s="14"/>
      <c r="G8" s="14" t="str">
        <f>'Raw Data'!B5</f>
        <v>Ferrari</v>
      </c>
      <c r="H8" s="16">
        <f>'Raw Data'!H5</f>
        <v>6500</v>
      </c>
      <c r="I8" s="14"/>
      <c r="J8" s="14" t="str">
        <f>'Raw Data'!B5</f>
        <v>Ferrari</v>
      </c>
      <c r="K8" s="17">
        <f>'Raw Data'!K5</f>
        <v>1.6834170854271358</v>
      </c>
      <c r="L8" s="14"/>
      <c r="M8" s="14" t="str">
        <f>'Raw Data'!B5</f>
        <v>Ferrari</v>
      </c>
      <c r="N8" s="18">
        <f>'Raw Data'!L5</f>
        <v>59.402985074626869</v>
      </c>
    </row>
    <row r="9" spans="1:14" x14ac:dyDescent="0.25">
      <c r="A9" s="14" t="str">
        <f>'Raw Data'!B6</f>
        <v>Williams</v>
      </c>
      <c r="B9" s="15">
        <f>'Raw Data'!D6</f>
        <v>137</v>
      </c>
      <c r="C9" s="14"/>
      <c r="D9" s="14" t="str">
        <f>'Raw Data'!B6</f>
        <v>Williams</v>
      </c>
      <c r="E9" s="15">
        <f>'Raw Data'!E6</f>
        <v>0</v>
      </c>
      <c r="F9" s="14"/>
      <c r="G9" s="14" t="str">
        <f>'Raw Data'!B6</f>
        <v>Williams</v>
      </c>
      <c r="H9" s="16">
        <f>'Raw Data'!H6</f>
        <v>2500</v>
      </c>
      <c r="I9" s="14"/>
      <c r="J9" s="14" t="str">
        <f>'Raw Data'!B6</f>
        <v>Williams</v>
      </c>
      <c r="K9" s="17">
        <f>'Raw Data'!K6</f>
        <v>1.7883211678832116</v>
      </c>
      <c r="L9" s="14"/>
      <c r="M9" s="14" t="str">
        <f>'Raw Data'!B6</f>
        <v>Williams</v>
      </c>
      <c r="N9" s="18">
        <f>'Raw Data'!L6</f>
        <v>55.91836734693878</v>
      </c>
    </row>
    <row r="10" spans="1:14" x14ac:dyDescent="0.25">
      <c r="A10" s="14" t="str">
        <f>'Raw Data'!B7</f>
        <v>Racing Bulls</v>
      </c>
      <c r="B10" s="15">
        <f>'Raw Data'!D7</f>
        <v>92</v>
      </c>
      <c r="C10" s="14"/>
      <c r="D10" s="14" t="str">
        <f>'Raw Data'!B7</f>
        <v>Racing Bulls</v>
      </c>
      <c r="E10" s="15">
        <f>'Raw Data'!E7</f>
        <v>0</v>
      </c>
      <c r="F10" s="14"/>
      <c r="G10" s="14" t="str">
        <f>'Raw Data'!B7</f>
        <v>Racing Bulls</v>
      </c>
      <c r="H10" s="16">
        <f>'Raw Data'!H7</f>
        <v>2300</v>
      </c>
      <c r="I10" s="14"/>
      <c r="J10" s="14" t="str">
        <f>'Raw Data'!B7</f>
        <v>Racing Bulls</v>
      </c>
      <c r="K10" s="17">
        <f>'Raw Data'!K7</f>
        <v>3.4565217391304346</v>
      </c>
      <c r="L10" s="14"/>
      <c r="M10" s="14" t="str">
        <f>'Raw Data'!B7</f>
        <v>Racing Bulls</v>
      </c>
      <c r="N10" s="18">
        <f>'Raw Data'!L7</f>
        <v>28.930817610062892</v>
      </c>
    </row>
    <row r="11" spans="1:14" x14ac:dyDescent="0.25">
      <c r="A11" s="14" t="str">
        <f>'Raw Data'!B8</f>
        <v>Aston Martin</v>
      </c>
      <c r="B11" s="15">
        <f>'Raw Data'!D8</f>
        <v>89</v>
      </c>
      <c r="C11" s="14"/>
      <c r="D11" s="14" t="str">
        <f>'Raw Data'!B8</f>
        <v>Aston Martin</v>
      </c>
      <c r="E11" s="15">
        <f>'Raw Data'!E8</f>
        <v>0</v>
      </c>
      <c r="F11" s="14"/>
      <c r="G11" s="14" t="str">
        <f>'Raw Data'!B8</f>
        <v>Aston Martin</v>
      </c>
      <c r="H11" s="16">
        <f>'Raw Data'!H8</f>
        <v>3200</v>
      </c>
      <c r="I11" s="14"/>
      <c r="J11" s="14" t="str">
        <f>'Raw Data'!B8</f>
        <v>Aston Martin</v>
      </c>
      <c r="K11" s="17">
        <f>'Raw Data'!K8</f>
        <v>3.9662921348314608</v>
      </c>
      <c r="L11" s="14"/>
      <c r="M11" s="14" t="str">
        <f>'Raw Data'!B8</f>
        <v>Aston Martin</v>
      </c>
      <c r="N11" s="18">
        <f>'Raw Data'!L8</f>
        <v>25.212464589235129</v>
      </c>
    </row>
    <row r="12" spans="1:14" x14ac:dyDescent="0.25">
      <c r="A12" s="14" t="str">
        <f>'Raw Data'!B9</f>
        <v>Haas F1 Team</v>
      </c>
      <c r="B12" s="15">
        <f>'Raw Data'!D9</f>
        <v>79</v>
      </c>
      <c r="C12" s="14"/>
      <c r="D12" s="14" t="str">
        <f>'Raw Data'!B9</f>
        <v>Haas F1 Team</v>
      </c>
      <c r="E12" s="15">
        <f>'Raw Data'!E9</f>
        <v>0</v>
      </c>
      <c r="F12" s="14"/>
      <c r="G12" s="14" t="str">
        <f>'Raw Data'!B9</f>
        <v>Haas F1 Team</v>
      </c>
      <c r="H12" s="16">
        <f>'Raw Data'!H9</f>
        <v>1500</v>
      </c>
      <c r="I12" s="14"/>
      <c r="J12" s="14" t="str">
        <f>'Raw Data'!B9</f>
        <v>Haas F1 Team</v>
      </c>
      <c r="K12" s="17">
        <f>'Raw Data'!K9</f>
        <v>1.8987341772151898</v>
      </c>
      <c r="L12" s="14"/>
      <c r="M12" s="14" t="str">
        <f>'Raw Data'!B9</f>
        <v>Haas F1 Team</v>
      </c>
      <c r="N12" s="18">
        <f>'Raw Data'!L9</f>
        <v>52.666666666666664</v>
      </c>
    </row>
    <row r="13" spans="1:14" x14ac:dyDescent="0.25">
      <c r="A13" s="14" t="str">
        <f>'Raw Data'!B10</f>
        <v>Kick Sauber</v>
      </c>
      <c r="B13" s="15">
        <f>'Raw Data'!D10</f>
        <v>70</v>
      </c>
      <c r="C13" s="14"/>
      <c r="D13" s="14" t="str">
        <f>'Raw Data'!B10</f>
        <v>Kick Sauber</v>
      </c>
      <c r="E13" s="15">
        <f>'Raw Data'!E10</f>
        <v>0</v>
      </c>
      <c r="F13" s="14"/>
      <c r="G13" s="14" t="str">
        <f>'Raw Data'!B10</f>
        <v>Kick Sauber</v>
      </c>
      <c r="H13" s="16">
        <f>'Raw Data'!H10</f>
        <v>2400</v>
      </c>
      <c r="I13" s="14"/>
      <c r="J13" s="14" t="str">
        <f>'Raw Data'!B10</f>
        <v>Kick Sauber</v>
      </c>
      <c r="K13" s="17">
        <f>'Raw Data'!K10</f>
        <v>3.4285714285714284</v>
      </c>
      <c r="L13" s="14"/>
      <c r="M13" s="14" t="str">
        <f>'Raw Data'!B10</f>
        <v>Kick Sauber</v>
      </c>
      <c r="N13" s="18">
        <f>'Raw Data'!L10</f>
        <v>29.166666666666668</v>
      </c>
    </row>
    <row r="14" spans="1:14" x14ac:dyDescent="0.25">
      <c r="A14" s="14" t="str">
        <f>'Raw Data'!B11</f>
        <v>Alpine</v>
      </c>
      <c r="B14" s="15">
        <f>'Raw Data'!D11</f>
        <v>22</v>
      </c>
      <c r="C14" s="14"/>
      <c r="D14" s="14" t="str">
        <f>'Raw Data'!B11</f>
        <v>Alpine</v>
      </c>
      <c r="E14" s="15">
        <f>'Raw Data'!E11</f>
        <v>0</v>
      </c>
      <c r="F14" s="14"/>
      <c r="G14" s="14" t="str">
        <f>'Raw Data'!B11</f>
        <v>Alpine</v>
      </c>
      <c r="H14" s="16">
        <f>'Raw Data'!H11</f>
        <v>2450</v>
      </c>
      <c r="I14" s="14"/>
      <c r="J14" s="14" t="str">
        <f>'Raw Data'!B11</f>
        <v>Alpine</v>
      </c>
      <c r="K14" s="17">
        <f>'Raw Data'!K11</f>
        <v>13.636363636363637</v>
      </c>
      <c r="L14" s="14"/>
      <c r="M14" s="14" t="str">
        <f>'Raw Data'!B11</f>
        <v>Alpine</v>
      </c>
      <c r="N14" s="18">
        <f>'Raw Data'!L11</f>
        <v>7.333333333333333</v>
      </c>
    </row>
    <row r="15" spans="1:14" x14ac:dyDescent="0.25">
      <c r="A15" s="12"/>
      <c r="B15" s="12"/>
      <c r="C15" s="12"/>
      <c r="D15" s="12"/>
      <c r="E15" s="12"/>
      <c r="F15" s="12"/>
      <c r="G15" s="12"/>
      <c r="H15" s="12"/>
      <c r="I15" s="12"/>
      <c r="J15" s="12"/>
      <c r="K15" s="12"/>
      <c r="L15" s="12"/>
      <c r="M15" s="12"/>
      <c r="N15" s="12"/>
    </row>
    <row r="16" spans="1:14" x14ac:dyDescent="0.25">
      <c r="A16" s="12"/>
      <c r="B16" s="12"/>
      <c r="C16" s="12"/>
      <c r="D16" s="12"/>
      <c r="E16" s="12"/>
      <c r="F16" s="12"/>
      <c r="G16" s="12"/>
      <c r="H16" s="12"/>
      <c r="I16" s="12"/>
      <c r="J16" s="12"/>
      <c r="K16" s="12"/>
      <c r="L16" s="12"/>
      <c r="M16" s="12"/>
      <c r="N16" s="12"/>
    </row>
    <row r="17" spans="1:14" x14ac:dyDescent="0.25">
      <c r="A17" s="12"/>
      <c r="B17" s="12"/>
      <c r="C17" s="12"/>
      <c r="D17" s="12"/>
      <c r="E17" s="12"/>
      <c r="F17" s="12"/>
      <c r="G17" s="12"/>
      <c r="H17" s="12"/>
      <c r="I17" s="12"/>
      <c r="J17" s="12"/>
      <c r="K17" s="12"/>
      <c r="L17" s="12"/>
      <c r="M17" s="12"/>
      <c r="N17" s="12"/>
    </row>
    <row r="18" spans="1:14" x14ac:dyDescent="0.25">
      <c r="A18" s="12"/>
      <c r="B18" s="12"/>
      <c r="C18" s="12"/>
      <c r="D18" s="12"/>
      <c r="E18" s="12"/>
      <c r="F18" s="12"/>
      <c r="G18" s="12"/>
      <c r="H18" s="12"/>
      <c r="I18" s="12"/>
      <c r="J18" s="12"/>
      <c r="K18" s="12"/>
      <c r="L18" s="12"/>
      <c r="M18" s="12"/>
      <c r="N18" s="12"/>
    </row>
    <row r="19" spans="1:14" x14ac:dyDescent="0.25">
      <c r="A19" s="12"/>
      <c r="B19" s="12"/>
      <c r="C19" s="12"/>
      <c r="D19" s="12"/>
      <c r="E19" s="12"/>
      <c r="F19" s="12"/>
      <c r="G19" s="12"/>
      <c r="H19" s="12"/>
      <c r="I19" s="12"/>
      <c r="J19" s="12"/>
      <c r="K19" s="12"/>
      <c r="L19" s="12"/>
      <c r="M19" s="12"/>
      <c r="N19" s="12"/>
    </row>
    <row r="20" spans="1:14" x14ac:dyDescent="0.25">
      <c r="A20" s="12"/>
      <c r="B20" s="12"/>
      <c r="C20" s="12"/>
      <c r="D20" s="12"/>
      <c r="E20" s="12"/>
      <c r="F20" s="12"/>
      <c r="G20" s="12"/>
      <c r="H20" s="12"/>
      <c r="I20" s="12"/>
      <c r="J20" s="12"/>
      <c r="K20" s="12"/>
      <c r="L20" s="12"/>
      <c r="M20" s="12"/>
      <c r="N20" s="12"/>
    </row>
  </sheetData>
  <mergeCells count="2">
    <mergeCell ref="A1:N1"/>
    <mergeCell ref="A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65"/>
  <sheetViews>
    <sheetView topLeftCell="H1" workbookViewId="0">
      <selection activeCell="E5" sqref="E5:H5"/>
    </sheetView>
  </sheetViews>
  <sheetFormatPr defaultRowHeight="15" x14ac:dyDescent="0.25"/>
  <cols>
    <col min="1" max="1" width="12" customWidth="1"/>
    <col min="2" max="16" width="11" customWidth="1"/>
    <col min="17" max="17" width="12" customWidth="1"/>
  </cols>
  <sheetData>
    <row r="1" spans="1:17" ht="24" customHeight="1" x14ac:dyDescent="0.25">
      <c r="A1" s="35" t="s">
        <v>57</v>
      </c>
      <c r="B1" s="35"/>
      <c r="C1" s="35"/>
      <c r="D1" s="35"/>
      <c r="E1" s="35"/>
      <c r="F1" s="35"/>
      <c r="G1" s="35"/>
      <c r="H1" s="35"/>
      <c r="I1" s="35"/>
      <c r="J1" s="35"/>
      <c r="K1" s="35"/>
      <c r="L1" s="35"/>
      <c r="M1" s="35"/>
      <c r="N1" s="35"/>
      <c r="O1" s="35"/>
      <c r="P1" s="35"/>
      <c r="Q1" s="35"/>
    </row>
    <row r="2" spans="1:17" ht="24" customHeight="1" x14ac:dyDescent="0.25">
      <c r="A2" s="36"/>
      <c r="B2" s="37"/>
      <c r="C2" s="35"/>
      <c r="D2" s="36"/>
      <c r="E2" s="37"/>
      <c r="F2" s="35"/>
      <c r="G2" s="38"/>
      <c r="H2" s="38"/>
      <c r="I2" s="35"/>
      <c r="J2" s="36"/>
      <c r="K2" s="39"/>
      <c r="L2" s="35"/>
      <c r="M2" s="36"/>
      <c r="N2" s="40"/>
      <c r="O2" s="35"/>
      <c r="P2" s="36"/>
      <c r="Q2" s="35"/>
    </row>
    <row r="3" spans="1:17" ht="18.95" customHeight="1" x14ac:dyDescent="0.25">
      <c r="A3" s="41" t="s">
        <v>58</v>
      </c>
      <c r="B3" s="42"/>
      <c r="C3" s="43"/>
      <c r="D3" s="41"/>
      <c r="E3" s="42"/>
      <c r="F3" s="43"/>
      <c r="G3" s="44"/>
      <c r="H3" s="45"/>
      <c r="I3" s="43"/>
      <c r="J3" s="41"/>
      <c r="K3" s="46"/>
      <c r="L3" s="43"/>
      <c r="M3" s="41"/>
      <c r="N3" s="47"/>
      <c r="O3" s="43"/>
      <c r="P3" s="41"/>
      <c r="Q3" s="43"/>
    </row>
    <row r="4" spans="1:17" x14ac:dyDescent="0.25">
      <c r="A4" s="20"/>
      <c r="B4" s="21"/>
      <c r="C4" s="19"/>
      <c r="D4" s="20"/>
      <c r="E4" s="21"/>
      <c r="F4" s="19"/>
      <c r="G4" s="22"/>
      <c r="H4" s="25"/>
      <c r="I4" s="19"/>
      <c r="J4" s="20"/>
      <c r="K4" s="23"/>
      <c r="L4" s="19"/>
      <c r="M4" s="20"/>
      <c r="N4" s="24"/>
      <c r="O4" s="19"/>
      <c r="P4" s="20"/>
      <c r="Q4" s="19"/>
    </row>
    <row r="5" spans="1:17" x14ac:dyDescent="0.25">
      <c r="A5" s="48" t="s">
        <v>59</v>
      </c>
      <c r="B5" s="49"/>
      <c r="C5" s="50"/>
      <c r="D5" s="48"/>
      <c r="E5" s="42" t="s">
        <v>60</v>
      </c>
      <c r="F5" s="43"/>
      <c r="G5" s="44"/>
      <c r="H5" s="45"/>
      <c r="I5" s="58" t="s">
        <v>61</v>
      </c>
      <c r="J5" s="59"/>
      <c r="K5" s="60"/>
      <c r="L5" s="58"/>
      <c r="M5" s="64" t="s">
        <v>62</v>
      </c>
      <c r="N5" s="65"/>
      <c r="O5" s="66"/>
      <c r="P5" s="64"/>
      <c r="Q5" s="66"/>
    </row>
    <row r="6" spans="1:17" x14ac:dyDescent="0.25">
      <c r="A6" s="51" t="s">
        <v>12</v>
      </c>
      <c r="B6" s="52"/>
      <c r="C6" s="53"/>
      <c r="D6" s="51"/>
      <c r="E6" s="54" t="s">
        <v>63</v>
      </c>
      <c r="F6" s="55"/>
      <c r="G6" s="56"/>
      <c r="H6" s="57"/>
      <c r="I6" s="61" t="s">
        <v>64</v>
      </c>
      <c r="J6" s="62"/>
      <c r="K6" s="63"/>
      <c r="L6" s="61"/>
      <c r="M6" s="67" t="s">
        <v>65</v>
      </c>
      <c r="N6" s="68"/>
      <c r="O6" s="69"/>
      <c r="P6" s="67"/>
      <c r="Q6" s="69"/>
    </row>
    <row r="7" spans="1:17" x14ac:dyDescent="0.25">
      <c r="A7" s="51"/>
      <c r="B7" s="52"/>
      <c r="C7" s="53"/>
      <c r="D7" s="51"/>
      <c r="E7" s="54"/>
      <c r="F7" s="55"/>
      <c r="G7" s="56"/>
      <c r="H7" s="56"/>
      <c r="I7" s="61"/>
      <c r="J7" s="62"/>
      <c r="K7" s="63"/>
      <c r="L7" s="61"/>
      <c r="M7" s="67"/>
      <c r="N7" s="68"/>
      <c r="O7" s="69"/>
      <c r="P7" s="67"/>
      <c r="Q7" s="69"/>
    </row>
    <row r="8" spans="1:17" x14ac:dyDescent="0.25">
      <c r="A8" s="51"/>
      <c r="B8" s="52"/>
      <c r="C8" s="53"/>
      <c r="D8" s="51"/>
      <c r="E8" s="54"/>
      <c r="F8" s="55"/>
      <c r="G8" s="55"/>
      <c r="H8" s="55"/>
      <c r="I8" s="61"/>
      <c r="J8" s="62"/>
      <c r="K8" s="63"/>
      <c r="L8" s="61"/>
      <c r="M8" s="67"/>
      <c r="N8" s="68"/>
      <c r="O8" s="69"/>
      <c r="P8" s="67"/>
      <c r="Q8" s="69"/>
    </row>
    <row r="9" spans="1:17" x14ac:dyDescent="0.25">
      <c r="A9" s="20"/>
      <c r="B9" s="21"/>
      <c r="C9" s="19"/>
      <c r="D9" s="20"/>
      <c r="E9" s="21"/>
      <c r="F9" s="19"/>
      <c r="G9" s="19"/>
      <c r="H9" s="19"/>
      <c r="I9" s="19"/>
      <c r="J9" s="20"/>
      <c r="K9" s="23"/>
      <c r="L9" s="19"/>
      <c r="M9" s="20"/>
      <c r="N9" s="24"/>
      <c r="O9" s="19"/>
      <c r="P9" s="20"/>
      <c r="Q9" s="19"/>
    </row>
    <row r="10" spans="1:17" x14ac:dyDescent="0.25">
      <c r="A10" s="70" t="s">
        <v>66</v>
      </c>
      <c r="B10" s="71"/>
      <c r="C10" s="72"/>
      <c r="D10" s="70"/>
      <c r="E10" s="71"/>
      <c r="F10" s="72"/>
      <c r="G10" s="72"/>
      <c r="H10" s="72"/>
      <c r="I10" s="72"/>
      <c r="J10" s="70"/>
      <c r="K10" s="73"/>
      <c r="L10" s="72"/>
      <c r="M10" s="70"/>
      <c r="N10" s="74"/>
      <c r="O10" s="72"/>
      <c r="P10" s="70"/>
      <c r="Q10" s="72"/>
    </row>
    <row r="11" spans="1:17" x14ac:dyDescent="0.25">
      <c r="A11" s="20"/>
      <c r="B11" s="21"/>
      <c r="C11" s="19"/>
      <c r="D11" s="20"/>
      <c r="E11" s="21"/>
      <c r="F11" s="19"/>
      <c r="G11" s="19"/>
      <c r="H11" s="19"/>
      <c r="I11" s="19"/>
      <c r="J11" s="20"/>
      <c r="K11" s="23"/>
      <c r="L11" s="19"/>
      <c r="M11" s="20"/>
      <c r="N11" s="24"/>
      <c r="O11" s="19"/>
      <c r="P11" s="20"/>
      <c r="Q11" s="19"/>
    </row>
    <row r="12" spans="1:17" x14ac:dyDescent="0.25">
      <c r="A12" s="19"/>
      <c r="B12" s="19"/>
      <c r="C12" s="19"/>
      <c r="D12" s="19"/>
      <c r="E12" s="19"/>
      <c r="F12" s="19"/>
      <c r="G12" s="19"/>
      <c r="H12" s="19"/>
      <c r="I12" s="19"/>
      <c r="J12" s="19"/>
      <c r="K12" s="20"/>
      <c r="L12" s="19"/>
      <c r="M12" s="19"/>
      <c r="N12" s="19"/>
      <c r="O12" s="19"/>
      <c r="P12" s="19"/>
      <c r="Q12" s="19"/>
    </row>
    <row r="13" spans="1:17" x14ac:dyDescent="0.25">
      <c r="A13" s="19"/>
      <c r="B13" s="19"/>
      <c r="C13" s="19"/>
      <c r="D13" s="19"/>
      <c r="E13" s="19"/>
      <c r="F13" s="19"/>
      <c r="G13" s="19"/>
      <c r="H13" s="19"/>
      <c r="I13" s="19"/>
      <c r="J13" s="19"/>
      <c r="K13" s="19"/>
      <c r="L13" s="19"/>
      <c r="M13" s="19"/>
      <c r="N13" s="19"/>
      <c r="O13" s="19"/>
      <c r="P13" s="19"/>
      <c r="Q13" s="19"/>
    </row>
    <row r="14" spans="1:17" x14ac:dyDescent="0.25">
      <c r="A14" s="19"/>
      <c r="B14" s="19"/>
      <c r="C14" s="19"/>
      <c r="D14" s="19"/>
      <c r="E14" s="19"/>
      <c r="F14" s="19"/>
      <c r="G14" s="19"/>
      <c r="H14" s="19"/>
      <c r="I14" s="19"/>
      <c r="J14" s="19"/>
      <c r="K14" s="19"/>
      <c r="L14" s="19"/>
      <c r="M14" s="19"/>
      <c r="N14" s="19"/>
      <c r="O14" s="19"/>
      <c r="P14" s="19"/>
      <c r="Q14" s="19"/>
    </row>
    <row r="15" spans="1:17" x14ac:dyDescent="0.25">
      <c r="A15" s="19"/>
      <c r="B15" s="19"/>
      <c r="C15" s="19"/>
      <c r="D15" s="19"/>
      <c r="E15" s="19"/>
      <c r="F15" s="19"/>
      <c r="G15" s="19"/>
      <c r="H15" s="19"/>
      <c r="I15" s="19"/>
      <c r="J15" s="19"/>
      <c r="K15" s="19"/>
      <c r="L15" s="19"/>
      <c r="M15" s="19"/>
      <c r="N15" s="19"/>
      <c r="O15" s="19"/>
      <c r="P15" s="19"/>
      <c r="Q15" s="19"/>
    </row>
    <row r="16" spans="1:17" x14ac:dyDescent="0.25">
      <c r="A16" s="19"/>
      <c r="B16" s="19"/>
      <c r="C16" s="19"/>
      <c r="D16" s="19"/>
      <c r="E16" s="19"/>
      <c r="F16" s="19"/>
      <c r="G16" s="19"/>
      <c r="H16" s="19"/>
      <c r="I16" s="19"/>
      <c r="J16" s="19"/>
      <c r="K16" s="19"/>
      <c r="L16" s="19"/>
      <c r="M16" s="19"/>
      <c r="N16" s="19"/>
      <c r="O16" s="19"/>
      <c r="P16" s="19"/>
      <c r="Q16" s="19"/>
    </row>
    <row r="17" spans="1:17" x14ac:dyDescent="0.25">
      <c r="A17" s="19"/>
      <c r="B17" s="19"/>
      <c r="C17" s="19"/>
      <c r="D17" s="19"/>
      <c r="E17" s="19"/>
      <c r="F17" s="19"/>
      <c r="G17" s="19"/>
      <c r="H17" s="19"/>
      <c r="I17" s="19"/>
      <c r="J17" s="19"/>
      <c r="K17" s="19"/>
      <c r="L17" s="19"/>
      <c r="M17" s="19"/>
      <c r="N17" s="19"/>
      <c r="O17" s="19"/>
      <c r="P17" s="19"/>
      <c r="Q17" s="19"/>
    </row>
    <row r="18" spans="1:17" x14ac:dyDescent="0.25">
      <c r="A18" s="19"/>
      <c r="B18" s="19"/>
      <c r="C18" s="19"/>
      <c r="D18" s="19"/>
      <c r="E18" s="19"/>
      <c r="F18" s="19"/>
      <c r="G18" s="19"/>
      <c r="H18" s="19"/>
      <c r="I18" s="19"/>
      <c r="J18" s="19"/>
      <c r="K18" s="19"/>
      <c r="L18" s="19"/>
      <c r="M18" s="19"/>
      <c r="N18" s="19"/>
      <c r="O18" s="19"/>
      <c r="P18" s="19"/>
      <c r="Q18" s="19"/>
    </row>
    <row r="19" spans="1:17" x14ac:dyDescent="0.25">
      <c r="A19" s="19"/>
      <c r="B19" s="19"/>
      <c r="C19" s="19"/>
      <c r="D19" s="19"/>
      <c r="E19" s="19"/>
      <c r="F19" s="19"/>
      <c r="G19" s="19"/>
      <c r="H19" s="19"/>
      <c r="I19" s="19"/>
      <c r="J19" s="19"/>
      <c r="K19" s="19"/>
      <c r="L19" s="19"/>
      <c r="M19" s="19"/>
      <c r="N19" s="19"/>
      <c r="O19" s="19"/>
      <c r="P19" s="19"/>
      <c r="Q19" s="19"/>
    </row>
    <row r="20" spans="1:17" x14ac:dyDescent="0.25">
      <c r="A20" s="19"/>
      <c r="B20" s="19"/>
      <c r="C20" s="19"/>
      <c r="D20" s="19"/>
      <c r="E20" s="19"/>
      <c r="F20" s="19"/>
      <c r="G20" s="19"/>
      <c r="H20" s="19"/>
      <c r="I20" s="19"/>
      <c r="J20" s="19"/>
      <c r="K20" s="19"/>
      <c r="L20" s="19"/>
      <c r="M20" s="19"/>
      <c r="N20" s="19"/>
      <c r="O20" s="19"/>
      <c r="P20" s="19"/>
      <c r="Q20" s="19"/>
    </row>
    <row r="21" spans="1:17" x14ac:dyDescent="0.25">
      <c r="A21" s="19"/>
      <c r="B21" s="19"/>
      <c r="C21" s="19"/>
      <c r="D21" s="19"/>
      <c r="E21" s="19"/>
      <c r="F21" s="19"/>
      <c r="G21" s="19"/>
      <c r="H21" s="19"/>
      <c r="I21" s="19"/>
      <c r="J21" s="19"/>
      <c r="K21" s="19"/>
      <c r="L21" s="19"/>
      <c r="M21" s="19"/>
      <c r="N21" s="19"/>
      <c r="O21" s="19"/>
      <c r="P21" s="19"/>
      <c r="Q21" s="19"/>
    </row>
    <row r="22" spans="1:17" x14ac:dyDescent="0.25">
      <c r="A22" s="19"/>
      <c r="B22" s="19"/>
      <c r="C22" s="19"/>
      <c r="D22" s="19"/>
      <c r="E22" s="19"/>
      <c r="F22" s="19"/>
      <c r="G22" s="19"/>
      <c r="H22" s="19"/>
      <c r="I22" s="19"/>
      <c r="J22" s="19"/>
      <c r="K22" s="19"/>
      <c r="L22" s="19"/>
      <c r="M22" s="19"/>
      <c r="N22" s="19"/>
      <c r="O22" s="19"/>
      <c r="P22" s="19"/>
      <c r="Q22" s="19"/>
    </row>
    <row r="23" spans="1:17" x14ac:dyDescent="0.25">
      <c r="A23" s="19"/>
      <c r="B23" s="19"/>
      <c r="C23" s="19"/>
      <c r="D23" s="19"/>
      <c r="E23" s="19"/>
      <c r="F23" s="19"/>
      <c r="G23" s="19"/>
      <c r="H23" s="19"/>
      <c r="I23" s="19"/>
      <c r="J23" s="19"/>
      <c r="K23" s="19"/>
      <c r="L23" s="19"/>
      <c r="M23" s="19"/>
      <c r="N23" s="19"/>
      <c r="O23" s="19"/>
      <c r="P23" s="19"/>
      <c r="Q23" s="19"/>
    </row>
    <row r="24" spans="1:17" x14ac:dyDescent="0.25">
      <c r="A24" s="19"/>
      <c r="B24" s="19"/>
      <c r="C24" s="19"/>
      <c r="D24" s="19"/>
      <c r="E24" s="19"/>
      <c r="F24" s="19"/>
      <c r="G24" s="19"/>
      <c r="H24" s="19"/>
      <c r="I24" s="19"/>
      <c r="J24" s="19"/>
      <c r="K24" s="19"/>
      <c r="L24" s="19"/>
      <c r="M24" s="19"/>
      <c r="N24" s="19"/>
      <c r="O24" s="19"/>
      <c r="P24" s="19"/>
      <c r="Q24" s="19"/>
    </row>
    <row r="25" spans="1:17" x14ac:dyDescent="0.25">
      <c r="A25" s="19"/>
      <c r="B25" s="19"/>
      <c r="C25" s="19"/>
      <c r="D25" s="19"/>
      <c r="E25" s="19"/>
      <c r="F25" s="19"/>
      <c r="G25" s="19"/>
      <c r="H25" s="19"/>
      <c r="I25" s="19"/>
      <c r="J25" s="19"/>
      <c r="K25" s="19"/>
      <c r="L25" s="19"/>
      <c r="M25" s="19"/>
      <c r="N25" s="19"/>
      <c r="O25" s="19"/>
      <c r="P25" s="19"/>
      <c r="Q25" s="19"/>
    </row>
    <row r="26" spans="1:17" x14ac:dyDescent="0.25">
      <c r="A26" s="19"/>
      <c r="B26" s="19"/>
      <c r="C26" s="19"/>
      <c r="D26" s="19"/>
      <c r="E26" s="19"/>
      <c r="F26" s="19"/>
      <c r="G26" s="19"/>
      <c r="H26" s="19"/>
      <c r="I26" s="19"/>
      <c r="J26" s="19"/>
      <c r="K26" s="19"/>
      <c r="L26" s="19"/>
      <c r="M26" s="19"/>
      <c r="N26" s="19"/>
      <c r="O26" s="19"/>
      <c r="P26" s="19"/>
      <c r="Q26" s="19"/>
    </row>
    <row r="27" spans="1:17" x14ac:dyDescent="0.25">
      <c r="A27" s="19"/>
      <c r="B27" s="19"/>
      <c r="C27" s="19"/>
      <c r="D27" s="19"/>
      <c r="E27" s="19"/>
      <c r="F27" s="19"/>
      <c r="G27" s="19"/>
      <c r="H27" s="19"/>
      <c r="I27" s="19"/>
      <c r="J27" s="19"/>
      <c r="K27" s="19"/>
      <c r="L27" s="19"/>
      <c r="M27" s="19"/>
      <c r="N27" s="19"/>
      <c r="O27" s="19"/>
      <c r="P27" s="19"/>
      <c r="Q27" s="19"/>
    </row>
    <row r="28" spans="1:17" x14ac:dyDescent="0.25">
      <c r="A28" s="19"/>
      <c r="B28" s="19"/>
      <c r="C28" s="19"/>
      <c r="D28" s="19"/>
      <c r="E28" s="19"/>
      <c r="F28" s="19"/>
      <c r="G28" s="19"/>
      <c r="H28" s="19"/>
      <c r="I28" s="19"/>
      <c r="J28" s="19"/>
      <c r="K28" s="19"/>
      <c r="L28" s="19"/>
      <c r="M28" s="19"/>
      <c r="N28" s="19"/>
      <c r="O28" s="19"/>
      <c r="P28" s="19"/>
      <c r="Q28" s="19"/>
    </row>
    <row r="29" spans="1:17" x14ac:dyDescent="0.25">
      <c r="A29" s="19"/>
      <c r="B29" s="19"/>
      <c r="C29" s="19"/>
      <c r="D29" s="19"/>
      <c r="E29" s="19"/>
      <c r="F29" s="19"/>
      <c r="G29" s="19"/>
      <c r="H29" s="19"/>
      <c r="I29" s="19"/>
      <c r="J29" s="19"/>
      <c r="K29" s="19"/>
      <c r="L29" s="19"/>
      <c r="M29" s="19"/>
      <c r="N29" s="19"/>
      <c r="O29" s="19"/>
      <c r="P29" s="19"/>
      <c r="Q29" s="19"/>
    </row>
    <row r="30" spans="1:17" x14ac:dyDescent="0.25">
      <c r="A30" s="19"/>
      <c r="B30" s="19"/>
      <c r="C30" s="19"/>
      <c r="D30" s="19"/>
      <c r="E30" s="19"/>
      <c r="F30" s="19"/>
      <c r="G30" s="19"/>
      <c r="H30" s="19"/>
      <c r="I30" s="19"/>
      <c r="J30" s="19"/>
      <c r="K30" s="19"/>
      <c r="L30" s="19"/>
      <c r="M30" s="19"/>
      <c r="N30" s="19"/>
      <c r="O30" s="19"/>
      <c r="P30" s="19"/>
      <c r="Q30" s="19"/>
    </row>
    <row r="31" spans="1:17" x14ac:dyDescent="0.25">
      <c r="A31" s="19"/>
      <c r="B31" s="19"/>
      <c r="C31" s="19"/>
      <c r="D31" s="19"/>
      <c r="E31" s="19"/>
      <c r="F31" s="19"/>
      <c r="G31" s="19"/>
      <c r="H31" s="19"/>
      <c r="I31" s="19"/>
      <c r="J31" s="19"/>
      <c r="K31" s="19"/>
      <c r="L31" s="19"/>
      <c r="M31" s="19"/>
      <c r="N31" s="19"/>
      <c r="O31" s="19"/>
      <c r="P31" s="19"/>
      <c r="Q31" s="19"/>
    </row>
    <row r="32" spans="1:17" x14ac:dyDescent="0.25">
      <c r="A32" s="19"/>
      <c r="B32" s="19"/>
      <c r="C32" s="19"/>
      <c r="D32" s="19"/>
      <c r="E32" s="19"/>
      <c r="F32" s="19"/>
      <c r="G32" s="19"/>
      <c r="H32" s="19"/>
      <c r="I32" s="19"/>
      <c r="J32" s="19"/>
      <c r="K32" s="19"/>
      <c r="L32" s="19"/>
      <c r="M32" s="19"/>
      <c r="N32" s="19"/>
      <c r="O32" s="19"/>
      <c r="P32" s="19"/>
      <c r="Q32" s="19"/>
    </row>
    <row r="33" spans="1:17" x14ac:dyDescent="0.25">
      <c r="A33" s="19"/>
      <c r="B33" s="19"/>
      <c r="C33" s="19"/>
      <c r="D33" s="19"/>
      <c r="E33" s="19"/>
      <c r="F33" s="19"/>
      <c r="G33" s="19"/>
      <c r="H33" s="19"/>
      <c r="I33" s="19"/>
      <c r="J33" s="19"/>
      <c r="K33" s="19"/>
      <c r="L33" s="19"/>
      <c r="M33" s="19"/>
      <c r="N33" s="19"/>
      <c r="O33" s="19"/>
      <c r="P33" s="19"/>
      <c r="Q33" s="19"/>
    </row>
    <row r="34" spans="1:17" x14ac:dyDescent="0.25">
      <c r="A34" s="19"/>
      <c r="B34" s="19"/>
      <c r="C34" s="19"/>
      <c r="D34" s="19"/>
      <c r="E34" s="19"/>
      <c r="F34" s="19"/>
      <c r="G34" s="19"/>
      <c r="H34" s="19"/>
      <c r="I34" s="19"/>
      <c r="J34" s="19"/>
      <c r="K34" s="19"/>
      <c r="L34" s="19"/>
      <c r="M34" s="19"/>
      <c r="N34" s="19"/>
      <c r="O34" s="19"/>
      <c r="P34" s="19"/>
      <c r="Q34" s="19"/>
    </row>
    <row r="35" spans="1:17" x14ac:dyDescent="0.25">
      <c r="A35" s="19"/>
      <c r="B35" s="19"/>
      <c r="C35" s="19"/>
      <c r="D35" s="19"/>
      <c r="E35" s="19"/>
      <c r="F35" s="19"/>
      <c r="G35" s="19"/>
      <c r="H35" s="19"/>
      <c r="I35" s="19"/>
      <c r="J35" s="19"/>
      <c r="K35" s="19"/>
      <c r="L35" s="19"/>
      <c r="M35" s="19"/>
      <c r="N35" s="19"/>
      <c r="O35" s="19"/>
      <c r="P35" s="19"/>
      <c r="Q35" s="19"/>
    </row>
    <row r="36" spans="1:17" x14ac:dyDescent="0.25">
      <c r="A36" s="19"/>
      <c r="B36" s="19"/>
      <c r="C36" s="19"/>
      <c r="D36" s="19"/>
      <c r="E36" s="19"/>
      <c r="F36" s="19"/>
      <c r="G36" s="19"/>
      <c r="H36" s="19"/>
      <c r="I36" s="19"/>
      <c r="J36" s="19"/>
      <c r="K36" s="19"/>
      <c r="L36" s="19"/>
      <c r="M36" s="19"/>
      <c r="N36" s="19"/>
      <c r="O36" s="19"/>
      <c r="P36" s="19"/>
      <c r="Q36" s="19"/>
    </row>
    <row r="37" spans="1:17" x14ac:dyDescent="0.25">
      <c r="A37" s="19"/>
      <c r="B37" s="19"/>
      <c r="C37" s="19"/>
      <c r="D37" s="19"/>
      <c r="E37" s="19"/>
      <c r="F37" s="19"/>
      <c r="G37" s="19"/>
      <c r="H37" s="19"/>
      <c r="I37" s="19"/>
      <c r="J37" s="19"/>
      <c r="K37" s="19"/>
      <c r="L37" s="19"/>
      <c r="M37" s="19"/>
      <c r="N37" s="19"/>
      <c r="O37" s="19"/>
      <c r="P37" s="19"/>
      <c r="Q37" s="19"/>
    </row>
    <row r="38" spans="1:17" x14ac:dyDescent="0.25">
      <c r="A38" s="19"/>
      <c r="B38" s="19"/>
      <c r="C38" s="19"/>
      <c r="D38" s="19"/>
      <c r="E38" s="19"/>
      <c r="F38" s="19"/>
      <c r="G38" s="19"/>
      <c r="H38" s="19"/>
      <c r="I38" s="19"/>
      <c r="J38" s="19"/>
      <c r="K38" s="19"/>
      <c r="L38" s="19"/>
      <c r="M38" s="19"/>
      <c r="N38" s="19"/>
      <c r="O38" s="19"/>
      <c r="P38" s="19"/>
      <c r="Q38" s="19"/>
    </row>
    <row r="39" spans="1:17" x14ac:dyDescent="0.25">
      <c r="A39" s="19"/>
      <c r="B39" s="19"/>
      <c r="C39" s="19"/>
      <c r="D39" s="19"/>
      <c r="E39" s="19"/>
      <c r="F39" s="19"/>
      <c r="G39" s="19"/>
      <c r="H39" s="19"/>
      <c r="I39" s="19"/>
      <c r="J39" s="19"/>
      <c r="K39" s="19"/>
      <c r="L39" s="19"/>
      <c r="M39" s="19"/>
      <c r="N39" s="19"/>
      <c r="O39" s="19"/>
      <c r="P39" s="19"/>
      <c r="Q39" s="19"/>
    </row>
    <row r="40" spans="1:17" x14ac:dyDescent="0.25">
      <c r="A40" s="19"/>
      <c r="B40" s="19"/>
      <c r="C40" s="19"/>
      <c r="D40" s="19"/>
      <c r="E40" s="19"/>
      <c r="F40" s="19"/>
      <c r="G40" s="19"/>
      <c r="H40" s="19"/>
      <c r="I40" s="19"/>
      <c r="J40" s="19"/>
      <c r="K40" s="19"/>
      <c r="L40" s="19"/>
      <c r="M40" s="19"/>
      <c r="N40" s="19"/>
      <c r="O40" s="19"/>
      <c r="P40" s="19"/>
      <c r="Q40" s="19"/>
    </row>
    <row r="41" spans="1:17" x14ac:dyDescent="0.25">
      <c r="A41" s="19"/>
      <c r="B41" s="19"/>
      <c r="C41" s="19"/>
      <c r="D41" s="19"/>
      <c r="E41" s="19"/>
      <c r="F41" s="19"/>
      <c r="G41" s="19"/>
      <c r="H41" s="19"/>
      <c r="I41" s="19"/>
      <c r="J41" s="19"/>
      <c r="K41" s="19"/>
      <c r="L41" s="19"/>
      <c r="M41" s="19"/>
      <c r="N41" s="19"/>
      <c r="O41" s="19"/>
      <c r="P41" s="19"/>
      <c r="Q41" s="19"/>
    </row>
    <row r="42" spans="1:17" x14ac:dyDescent="0.25">
      <c r="A42" s="19"/>
      <c r="B42" s="19"/>
      <c r="C42" s="19"/>
      <c r="D42" s="19"/>
      <c r="E42" s="19"/>
      <c r="F42" s="19"/>
      <c r="G42" s="19"/>
      <c r="H42" s="19"/>
      <c r="I42" s="19"/>
      <c r="J42" s="19"/>
      <c r="K42" s="19"/>
      <c r="L42" s="19"/>
      <c r="M42" s="19"/>
      <c r="N42" s="19"/>
      <c r="O42" s="19"/>
      <c r="P42" s="19"/>
      <c r="Q42" s="19"/>
    </row>
    <row r="43" spans="1:17" x14ac:dyDescent="0.25">
      <c r="A43" s="19"/>
      <c r="B43" s="19"/>
      <c r="C43" s="19"/>
      <c r="D43" s="19"/>
      <c r="E43" s="19"/>
      <c r="F43" s="19"/>
      <c r="G43" s="19"/>
      <c r="H43" s="19"/>
      <c r="I43" s="19"/>
      <c r="J43" s="19"/>
      <c r="K43" s="19"/>
      <c r="L43" s="19"/>
      <c r="M43" s="19"/>
      <c r="N43" s="19"/>
      <c r="O43" s="19"/>
      <c r="P43" s="19"/>
      <c r="Q43" s="19"/>
    </row>
    <row r="44" spans="1:17" x14ac:dyDescent="0.25">
      <c r="A44" s="19"/>
      <c r="B44" s="19"/>
      <c r="C44" s="19"/>
      <c r="D44" s="19"/>
      <c r="E44" s="19"/>
      <c r="F44" s="19"/>
      <c r="G44" s="19"/>
      <c r="H44" s="19"/>
      <c r="I44" s="19"/>
      <c r="J44" s="19"/>
      <c r="K44" s="19"/>
      <c r="L44" s="19"/>
      <c r="M44" s="19"/>
      <c r="N44" s="19"/>
      <c r="O44" s="19"/>
      <c r="P44" s="19"/>
      <c r="Q44" s="19"/>
    </row>
    <row r="45" spans="1:17" x14ac:dyDescent="0.25">
      <c r="A45" s="19"/>
      <c r="B45" s="19"/>
      <c r="C45" s="19"/>
      <c r="D45" s="19"/>
      <c r="E45" s="19"/>
      <c r="F45" s="19"/>
      <c r="G45" s="19"/>
      <c r="H45" s="19"/>
      <c r="I45" s="19"/>
      <c r="J45" s="19"/>
      <c r="K45" s="19"/>
      <c r="L45" s="19"/>
      <c r="M45" s="19"/>
      <c r="N45" s="19"/>
      <c r="O45" s="19"/>
      <c r="P45" s="19"/>
      <c r="Q45" s="19"/>
    </row>
    <row r="46" spans="1:17" x14ac:dyDescent="0.25">
      <c r="A46" s="19"/>
      <c r="B46" s="19"/>
      <c r="C46" s="19"/>
      <c r="D46" s="19"/>
      <c r="E46" s="19"/>
      <c r="F46" s="19"/>
      <c r="G46" s="19"/>
      <c r="H46" s="19"/>
      <c r="I46" s="19"/>
      <c r="J46" s="19"/>
      <c r="K46" s="19"/>
      <c r="L46" s="19"/>
      <c r="M46" s="19"/>
      <c r="N46" s="19"/>
      <c r="O46" s="19"/>
      <c r="P46" s="19"/>
      <c r="Q46" s="19"/>
    </row>
    <row r="47" spans="1:17" x14ac:dyDescent="0.25">
      <c r="A47" s="19"/>
      <c r="B47" s="19"/>
      <c r="C47" s="19"/>
      <c r="D47" s="19"/>
      <c r="E47" s="19"/>
      <c r="F47" s="19"/>
      <c r="G47" s="19"/>
      <c r="H47" s="19"/>
      <c r="I47" s="19"/>
      <c r="J47" s="19"/>
      <c r="K47" s="19"/>
      <c r="L47" s="19"/>
      <c r="M47" s="19"/>
      <c r="N47" s="19"/>
      <c r="O47" s="19"/>
      <c r="P47" s="19"/>
      <c r="Q47" s="19"/>
    </row>
    <row r="48" spans="1:17" x14ac:dyDescent="0.25">
      <c r="A48" s="19"/>
      <c r="B48" s="19"/>
      <c r="C48" s="19"/>
      <c r="D48" s="19"/>
      <c r="E48" s="19"/>
      <c r="F48" s="19"/>
      <c r="G48" s="19"/>
      <c r="H48" s="19"/>
      <c r="I48" s="19"/>
      <c r="J48" s="19"/>
      <c r="K48" s="19"/>
      <c r="L48" s="19"/>
      <c r="M48" s="19"/>
      <c r="N48" s="19"/>
      <c r="O48" s="19"/>
      <c r="P48" s="19"/>
      <c r="Q48" s="19"/>
    </row>
    <row r="49" spans="1:17" x14ac:dyDescent="0.25">
      <c r="A49" s="19"/>
      <c r="B49" s="19"/>
      <c r="C49" s="19"/>
      <c r="D49" s="19"/>
      <c r="E49" s="19"/>
      <c r="F49" s="19"/>
      <c r="G49" s="19"/>
      <c r="H49" s="19"/>
      <c r="I49" s="19"/>
      <c r="J49" s="19"/>
      <c r="K49" s="19"/>
      <c r="L49" s="19"/>
      <c r="M49" s="19"/>
      <c r="N49" s="19"/>
      <c r="O49" s="19"/>
      <c r="P49" s="19"/>
      <c r="Q49" s="19"/>
    </row>
    <row r="50" spans="1:17" x14ac:dyDescent="0.25">
      <c r="A50" s="19"/>
      <c r="B50" s="19"/>
      <c r="C50" s="19"/>
      <c r="D50" s="19"/>
      <c r="E50" s="19"/>
      <c r="F50" s="19"/>
      <c r="G50" s="19"/>
      <c r="H50" s="19"/>
      <c r="I50" s="19"/>
      <c r="J50" s="19"/>
      <c r="K50" s="19"/>
      <c r="L50" s="19"/>
      <c r="M50" s="19"/>
      <c r="N50" s="19"/>
      <c r="O50" s="19"/>
      <c r="P50" s="19"/>
      <c r="Q50" s="19"/>
    </row>
    <row r="51" spans="1:17" x14ac:dyDescent="0.25">
      <c r="A51" s="19"/>
      <c r="B51" s="19"/>
      <c r="C51" s="19"/>
      <c r="D51" s="19"/>
      <c r="E51" s="19"/>
      <c r="F51" s="19"/>
      <c r="G51" s="19"/>
      <c r="H51" s="19"/>
      <c r="I51" s="19"/>
      <c r="J51" s="19"/>
      <c r="K51" s="19"/>
      <c r="L51" s="19"/>
      <c r="M51" s="19"/>
      <c r="N51" s="19"/>
      <c r="O51" s="19"/>
      <c r="P51" s="19"/>
      <c r="Q51" s="19"/>
    </row>
    <row r="52" spans="1:17" x14ac:dyDescent="0.25">
      <c r="A52" s="19"/>
      <c r="B52" s="19"/>
      <c r="C52" s="19"/>
      <c r="D52" s="19"/>
      <c r="E52" s="19"/>
      <c r="F52" s="19"/>
      <c r="G52" s="19"/>
      <c r="H52" s="19"/>
      <c r="I52" s="19"/>
      <c r="J52" s="19"/>
      <c r="K52" s="19"/>
      <c r="L52" s="19"/>
      <c r="M52" s="19"/>
      <c r="N52" s="19"/>
      <c r="O52" s="19"/>
      <c r="P52" s="19"/>
      <c r="Q52" s="19"/>
    </row>
    <row r="53" spans="1:17" x14ac:dyDescent="0.25">
      <c r="A53" s="19"/>
      <c r="B53" s="19"/>
      <c r="C53" s="19"/>
      <c r="D53" s="19"/>
      <c r="E53" s="19"/>
      <c r="F53" s="19"/>
      <c r="G53" s="19"/>
      <c r="H53" s="19"/>
      <c r="I53" s="19"/>
      <c r="J53" s="19"/>
      <c r="K53" s="19"/>
      <c r="L53" s="19"/>
      <c r="M53" s="19"/>
      <c r="N53" s="19"/>
      <c r="O53" s="19"/>
      <c r="P53" s="19"/>
      <c r="Q53" s="19"/>
    </row>
    <row r="54" spans="1:17" x14ac:dyDescent="0.25">
      <c r="A54" s="19"/>
      <c r="B54" s="19"/>
      <c r="C54" s="19"/>
      <c r="D54" s="19"/>
      <c r="E54" s="19"/>
      <c r="F54" s="19"/>
      <c r="G54" s="19"/>
      <c r="H54" s="19"/>
      <c r="I54" s="19"/>
      <c r="J54" s="19"/>
      <c r="K54" s="19"/>
      <c r="L54" s="19"/>
      <c r="M54" s="19"/>
      <c r="N54" s="19"/>
      <c r="O54" s="19"/>
      <c r="P54" s="19"/>
      <c r="Q54" s="19"/>
    </row>
    <row r="55" spans="1:17" x14ac:dyDescent="0.25">
      <c r="A55" s="19"/>
      <c r="B55" s="19"/>
      <c r="C55" s="19"/>
      <c r="D55" s="19"/>
      <c r="E55" s="19"/>
      <c r="F55" s="19"/>
      <c r="G55" s="19"/>
      <c r="H55" s="19"/>
      <c r="I55" s="19"/>
      <c r="J55" s="19"/>
      <c r="K55" s="19"/>
      <c r="L55" s="19"/>
      <c r="M55" s="19"/>
      <c r="N55" s="19"/>
      <c r="O55" s="19"/>
      <c r="P55" s="19"/>
      <c r="Q55" s="19"/>
    </row>
    <row r="56" spans="1:17" x14ac:dyDescent="0.25">
      <c r="A56" s="19"/>
      <c r="B56" s="19"/>
      <c r="C56" s="19"/>
      <c r="D56" s="19"/>
      <c r="E56" s="19"/>
      <c r="F56" s="19"/>
      <c r="G56" s="19"/>
      <c r="H56" s="19"/>
      <c r="I56" s="19"/>
      <c r="J56" s="19"/>
      <c r="K56" s="19"/>
      <c r="L56" s="19"/>
      <c r="M56" s="19"/>
      <c r="N56" s="19"/>
      <c r="O56" s="19"/>
      <c r="P56" s="19"/>
      <c r="Q56" s="19"/>
    </row>
    <row r="57" spans="1:17" x14ac:dyDescent="0.25">
      <c r="A57" s="19"/>
      <c r="B57" s="19"/>
      <c r="C57" s="19"/>
      <c r="D57" s="19"/>
      <c r="E57" s="19"/>
      <c r="F57" s="19"/>
      <c r="G57" s="19"/>
      <c r="H57" s="19"/>
      <c r="I57" s="19"/>
      <c r="J57" s="19"/>
      <c r="K57" s="19"/>
      <c r="L57" s="19"/>
      <c r="M57" s="19"/>
      <c r="N57" s="19"/>
      <c r="O57" s="19"/>
      <c r="P57" s="19"/>
      <c r="Q57" s="19"/>
    </row>
    <row r="58" spans="1:17" x14ac:dyDescent="0.25">
      <c r="A58" s="19"/>
      <c r="B58" s="19"/>
      <c r="C58" s="19"/>
      <c r="D58" s="19"/>
      <c r="E58" s="19"/>
      <c r="F58" s="19"/>
      <c r="G58" s="19"/>
      <c r="H58" s="19"/>
      <c r="I58" s="19"/>
      <c r="J58" s="19"/>
      <c r="K58" s="19"/>
      <c r="L58" s="19"/>
      <c r="M58" s="19"/>
      <c r="N58" s="19"/>
      <c r="O58" s="19"/>
      <c r="P58" s="19"/>
      <c r="Q58" s="19"/>
    </row>
    <row r="59" spans="1:17" x14ac:dyDescent="0.25">
      <c r="A59" s="19"/>
      <c r="B59" s="19"/>
      <c r="C59" s="19"/>
      <c r="D59" s="19"/>
      <c r="E59" s="19"/>
      <c r="F59" s="19"/>
      <c r="G59" s="19"/>
      <c r="H59" s="19"/>
      <c r="I59" s="19"/>
      <c r="J59" s="19"/>
      <c r="K59" s="19"/>
      <c r="L59" s="19"/>
      <c r="M59" s="19"/>
      <c r="N59" s="19"/>
      <c r="O59" s="19"/>
      <c r="P59" s="19"/>
      <c r="Q59" s="19"/>
    </row>
    <row r="60" spans="1:17" x14ac:dyDescent="0.25">
      <c r="A60" s="19"/>
      <c r="B60" s="19"/>
      <c r="C60" s="19"/>
      <c r="D60" s="19"/>
      <c r="E60" s="19"/>
      <c r="F60" s="19"/>
      <c r="G60" s="19"/>
      <c r="H60" s="19"/>
      <c r="I60" s="19"/>
      <c r="J60" s="19"/>
      <c r="K60" s="19"/>
      <c r="L60" s="19"/>
      <c r="M60" s="19"/>
      <c r="N60" s="19"/>
      <c r="O60" s="19"/>
      <c r="P60" s="19"/>
      <c r="Q60" s="19"/>
    </row>
    <row r="63" spans="1:17" x14ac:dyDescent="0.25">
      <c r="A63" s="75" t="s">
        <v>67</v>
      </c>
      <c r="B63" s="75"/>
      <c r="C63" s="75"/>
      <c r="D63" s="75"/>
      <c r="E63" s="75"/>
      <c r="F63" s="75"/>
      <c r="G63" s="75"/>
      <c r="H63" s="75"/>
      <c r="I63" s="75"/>
      <c r="J63" s="75"/>
      <c r="K63" s="75"/>
      <c r="L63" s="75"/>
      <c r="M63" s="75"/>
      <c r="N63" s="75"/>
      <c r="O63" s="75"/>
      <c r="P63" s="75"/>
      <c r="Q63" s="75"/>
    </row>
    <row r="64" spans="1:17" x14ac:dyDescent="0.25">
      <c r="A64" s="75"/>
      <c r="B64" s="75"/>
      <c r="C64" s="75"/>
      <c r="D64" s="75"/>
      <c r="E64" s="75"/>
      <c r="F64" s="75"/>
      <c r="G64" s="75"/>
      <c r="H64" s="75"/>
      <c r="I64" s="75"/>
      <c r="J64" s="75"/>
      <c r="K64" s="75"/>
      <c r="L64" s="75"/>
      <c r="M64" s="75"/>
      <c r="N64" s="75"/>
      <c r="O64" s="75"/>
      <c r="P64" s="75"/>
      <c r="Q64" s="75"/>
    </row>
    <row r="65" spans="1:17" x14ac:dyDescent="0.25">
      <c r="A65" s="75"/>
      <c r="B65" s="75"/>
      <c r="C65" s="75"/>
      <c r="D65" s="75"/>
      <c r="E65" s="75"/>
      <c r="F65" s="75"/>
      <c r="G65" s="75"/>
      <c r="H65" s="75"/>
      <c r="I65" s="75"/>
      <c r="J65" s="75"/>
      <c r="K65" s="75"/>
      <c r="L65" s="75"/>
      <c r="M65" s="75"/>
      <c r="N65" s="75"/>
      <c r="O65" s="75"/>
      <c r="P65" s="75"/>
      <c r="Q65" s="75"/>
    </row>
  </sheetData>
  <mergeCells count="12">
    <mergeCell ref="A10:Q10"/>
    <mergeCell ref="A63:Q65"/>
    <mergeCell ref="A1:Q2"/>
    <mergeCell ref="A3:Q3"/>
    <mergeCell ref="A5:D5"/>
    <mergeCell ref="A6:D8"/>
    <mergeCell ref="E5:H5"/>
    <mergeCell ref="E6:H8"/>
    <mergeCell ref="I5:L5"/>
    <mergeCell ref="I6:L8"/>
    <mergeCell ref="M5:Q5"/>
    <mergeCell ref="M6:Q8"/>
  </mergeCells>
  <pageMargins left="0.25" right="0.25" top="0.75" bottom="0.75" header="0.3" footer="0.3"/>
  <pageSetup scale="5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0"/>
  <sheetViews>
    <sheetView tabSelected="1" workbookViewId="0">
      <selection sqref="A1:H2"/>
    </sheetView>
  </sheetViews>
  <sheetFormatPr defaultRowHeight="15" x14ac:dyDescent="0.25"/>
  <cols>
    <col min="1" max="8" width="14" customWidth="1"/>
  </cols>
  <sheetData>
    <row r="1" spans="1:8" x14ac:dyDescent="0.25">
      <c r="A1" s="35" t="s">
        <v>68</v>
      </c>
      <c r="B1" s="35"/>
      <c r="C1" s="35"/>
      <c r="D1" s="35"/>
      <c r="E1" s="35"/>
      <c r="F1" s="35"/>
      <c r="G1" s="35"/>
      <c r="H1" s="35"/>
    </row>
    <row r="2" spans="1:8" x14ac:dyDescent="0.25">
      <c r="A2" s="35"/>
      <c r="B2" s="35"/>
      <c r="C2" s="35"/>
      <c r="D2" s="35"/>
      <c r="E2" s="35"/>
      <c r="F2" s="35"/>
      <c r="G2" s="35"/>
      <c r="H2" s="35"/>
    </row>
    <row r="3" spans="1:8" x14ac:dyDescent="0.25">
      <c r="A3" s="76" t="s">
        <v>69</v>
      </c>
      <c r="B3" s="76"/>
      <c r="C3" s="76"/>
      <c r="D3" s="76"/>
      <c r="E3" s="76"/>
      <c r="F3" s="76"/>
      <c r="G3" s="76"/>
      <c r="H3" s="76"/>
    </row>
    <row r="4" spans="1:8" x14ac:dyDescent="0.25">
      <c r="A4" s="12"/>
      <c r="B4" s="12"/>
      <c r="C4" s="12"/>
      <c r="D4" s="12"/>
      <c r="E4" s="12"/>
      <c r="F4" s="12"/>
      <c r="G4" s="12"/>
      <c r="H4" s="12"/>
    </row>
    <row r="5" spans="1:8" x14ac:dyDescent="0.25">
      <c r="A5" s="72" t="s">
        <v>70</v>
      </c>
      <c r="B5" s="72"/>
      <c r="C5" s="72"/>
      <c r="D5" s="72"/>
      <c r="E5" s="72"/>
      <c r="F5" s="72"/>
      <c r="G5" s="72"/>
      <c r="H5" s="72"/>
    </row>
    <row r="6" spans="1:8" ht="27.95" customHeight="1" x14ac:dyDescent="0.25">
      <c r="A6" s="77" t="s">
        <v>71</v>
      </c>
      <c r="B6" s="77"/>
      <c r="C6" s="77"/>
      <c r="D6" s="77"/>
      <c r="E6" s="77"/>
      <c r="F6" s="77"/>
      <c r="G6" s="77"/>
      <c r="H6" s="77"/>
    </row>
    <row r="7" spans="1:8" x14ac:dyDescent="0.25">
      <c r="A7" s="77"/>
      <c r="B7" s="77"/>
      <c r="C7" s="77"/>
      <c r="D7" s="77"/>
      <c r="E7" s="77"/>
      <c r="F7" s="77"/>
      <c r="G7" s="77"/>
      <c r="H7" s="77"/>
    </row>
    <row r="8" spans="1:8" x14ac:dyDescent="0.25">
      <c r="A8" s="12"/>
      <c r="B8" s="12"/>
      <c r="C8" s="12"/>
      <c r="D8" s="12"/>
      <c r="E8" s="12"/>
      <c r="F8" s="12"/>
      <c r="G8" s="12"/>
      <c r="H8" s="12"/>
    </row>
    <row r="9" spans="1:8" x14ac:dyDescent="0.25">
      <c r="A9" s="72" t="s">
        <v>72</v>
      </c>
      <c r="B9" s="72"/>
      <c r="C9" s="72"/>
      <c r="D9" s="72"/>
      <c r="E9" s="72"/>
      <c r="F9" s="72"/>
      <c r="G9" s="72"/>
      <c r="H9" s="72"/>
    </row>
    <row r="10" spans="1:8" ht="27.95" customHeight="1" x14ac:dyDescent="0.25">
      <c r="A10" s="77" t="s">
        <v>73</v>
      </c>
      <c r="B10" s="77"/>
      <c r="C10" s="77"/>
      <c r="D10" s="77"/>
      <c r="E10" s="77"/>
      <c r="F10" s="77"/>
      <c r="G10" s="77"/>
      <c r="H10" s="77"/>
    </row>
    <row r="11" spans="1:8" ht="27.95" customHeight="1" x14ac:dyDescent="0.25">
      <c r="A11" s="77"/>
      <c r="B11" s="77"/>
      <c r="C11" s="77"/>
      <c r="D11" s="77"/>
      <c r="E11" s="77"/>
      <c r="F11" s="77"/>
      <c r="G11" s="77"/>
      <c r="H11" s="77"/>
    </row>
    <row r="12" spans="1:8" x14ac:dyDescent="0.25">
      <c r="A12" s="77"/>
      <c r="B12" s="77"/>
      <c r="C12" s="77"/>
      <c r="D12" s="77"/>
      <c r="E12" s="77"/>
      <c r="F12" s="77"/>
      <c r="G12" s="77"/>
      <c r="H12" s="77"/>
    </row>
    <row r="13" spans="1:8" x14ac:dyDescent="0.25">
      <c r="A13" s="12"/>
      <c r="B13" s="12"/>
      <c r="C13" s="12"/>
      <c r="D13" s="12"/>
      <c r="E13" s="12"/>
      <c r="F13" s="12"/>
      <c r="G13" s="12"/>
      <c r="H13" s="12"/>
    </row>
    <row r="14" spans="1:8" x14ac:dyDescent="0.25">
      <c r="A14" s="72" t="s">
        <v>74</v>
      </c>
      <c r="B14" s="72"/>
      <c r="C14" s="72"/>
      <c r="D14" s="72"/>
      <c r="E14" s="72"/>
      <c r="F14" s="72"/>
      <c r="G14" s="72"/>
      <c r="H14" s="72"/>
    </row>
    <row r="15" spans="1:8" ht="27.95" customHeight="1" x14ac:dyDescent="0.25">
      <c r="A15" s="77" t="s">
        <v>75</v>
      </c>
      <c r="B15" s="77"/>
      <c r="C15" s="77"/>
      <c r="D15" s="77"/>
      <c r="E15" s="77"/>
      <c r="F15" s="77"/>
      <c r="G15" s="77"/>
      <c r="H15" s="77"/>
    </row>
    <row r="16" spans="1:8" ht="27.95" customHeight="1" x14ac:dyDescent="0.25">
      <c r="A16" s="77"/>
      <c r="B16" s="77"/>
      <c r="C16" s="77"/>
      <c r="D16" s="77"/>
      <c r="E16" s="77"/>
      <c r="F16" s="77"/>
      <c r="G16" s="77"/>
      <c r="H16" s="77"/>
    </row>
    <row r="17" spans="1:8" x14ac:dyDescent="0.25">
      <c r="A17" s="77"/>
      <c r="B17" s="77"/>
      <c r="C17" s="77"/>
      <c r="D17" s="77"/>
      <c r="E17" s="77"/>
      <c r="F17" s="77"/>
      <c r="G17" s="77"/>
      <c r="H17" s="77"/>
    </row>
    <row r="18" spans="1:8" x14ac:dyDescent="0.25">
      <c r="A18" s="12"/>
      <c r="B18" s="12"/>
      <c r="C18" s="12"/>
      <c r="D18" s="12"/>
      <c r="E18" s="12"/>
      <c r="F18" s="12"/>
      <c r="G18" s="12"/>
      <c r="H18" s="12"/>
    </row>
    <row r="19" spans="1:8" x14ac:dyDescent="0.25">
      <c r="A19" s="72" t="s">
        <v>76</v>
      </c>
      <c r="B19" s="72"/>
      <c r="C19" s="72"/>
      <c r="D19" s="72"/>
      <c r="E19" s="72"/>
      <c r="F19" s="72"/>
      <c r="G19" s="72"/>
      <c r="H19" s="72"/>
    </row>
    <row r="20" spans="1:8" ht="27.95" customHeight="1" x14ac:dyDescent="0.25">
      <c r="A20" s="77" t="s">
        <v>77</v>
      </c>
      <c r="B20" s="77"/>
      <c r="C20" s="77"/>
      <c r="D20" s="77"/>
      <c r="E20" s="77"/>
      <c r="F20" s="77"/>
      <c r="G20" s="77"/>
      <c r="H20" s="77"/>
    </row>
    <row r="21" spans="1:8" ht="27.95" customHeight="1" x14ac:dyDescent="0.25">
      <c r="A21" s="77"/>
      <c r="B21" s="77"/>
      <c r="C21" s="77"/>
      <c r="D21" s="77"/>
      <c r="E21" s="77"/>
      <c r="F21" s="77"/>
      <c r="G21" s="77"/>
      <c r="H21" s="77"/>
    </row>
    <row r="22" spans="1:8" x14ac:dyDescent="0.25">
      <c r="A22" s="77"/>
      <c r="B22" s="77"/>
      <c r="C22" s="77"/>
      <c r="D22" s="77"/>
      <c r="E22" s="77"/>
      <c r="F22" s="77"/>
      <c r="G22" s="77"/>
      <c r="H22" s="77"/>
    </row>
    <row r="23" spans="1:8" x14ac:dyDescent="0.25">
      <c r="A23" s="12"/>
      <c r="B23" s="12"/>
      <c r="C23" s="12"/>
      <c r="D23" s="12"/>
      <c r="E23" s="12"/>
      <c r="F23" s="12"/>
      <c r="G23" s="12"/>
      <c r="H23" s="12"/>
    </row>
    <row r="24" spans="1:8" x14ac:dyDescent="0.25">
      <c r="A24" s="72" t="s">
        <v>78</v>
      </c>
      <c r="B24" s="72"/>
      <c r="C24" s="72"/>
      <c r="D24" s="72"/>
      <c r="E24" s="72"/>
      <c r="F24" s="72"/>
      <c r="G24" s="72"/>
      <c r="H24" s="72"/>
    </row>
    <row r="25" spans="1:8" ht="27.95" customHeight="1" x14ac:dyDescent="0.25">
      <c r="A25" s="77" t="s">
        <v>79</v>
      </c>
      <c r="B25" s="77"/>
      <c r="C25" s="77"/>
      <c r="D25" s="77"/>
      <c r="E25" s="77"/>
      <c r="F25" s="77"/>
      <c r="G25" s="77"/>
      <c r="H25" s="77"/>
    </row>
    <row r="26" spans="1:8" ht="27.95" customHeight="1" x14ac:dyDescent="0.25">
      <c r="A26" s="77"/>
      <c r="B26" s="77"/>
      <c r="C26" s="77"/>
      <c r="D26" s="77"/>
      <c r="E26" s="77"/>
      <c r="F26" s="77"/>
      <c r="G26" s="77"/>
      <c r="H26" s="77"/>
    </row>
    <row r="27" spans="1:8" x14ac:dyDescent="0.25">
      <c r="A27" s="77"/>
      <c r="B27" s="77"/>
      <c r="C27" s="77"/>
      <c r="D27" s="77"/>
      <c r="E27" s="77"/>
      <c r="F27" s="77"/>
      <c r="G27" s="77"/>
      <c r="H27" s="77"/>
    </row>
    <row r="28" spans="1:8" x14ac:dyDescent="0.25">
      <c r="A28" s="12"/>
      <c r="B28" s="12"/>
      <c r="C28" s="12"/>
      <c r="D28" s="12"/>
      <c r="E28" s="12"/>
      <c r="F28" s="12"/>
      <c r="G28" s="12"/>
      <c r="H28" s="12"/>
    </row>
    <row r="29" spans="1:8" x14ac:dyDescent="0.25">
      <c r="A29" s="12"/>
      <c r="B29" s="12"/>
      <c r="C29" s="12"/>
      <c r="D29" s="12"/>
      <c r="E29" s="12"/>
      <c r="F29" s="12"/>
      <c r="G29" s="12"/>
      <c r="H29" s="12"/>
    </row>
    <row r="30" spans="1:8" x14ac:dyDescent="0.25">
      <c r="A30" s="12"/>
      <c r="B30" s="12"/>
      <c r="C30" s="12"/>
      <c r="D30" s="12"/>
      <c r="E30" s="12"/>
      <c r="F30" s="12"/>
      <c r="G30" s="12"/>
      <c r="H30" s="12"/>
    </row>
  </sheetData>
  <mergeCells count="12">
    <mergeCell ref="A24:H24"/>
    <mergeCell ref="A25:H27"/>
    <mergeCell ref="A10:H12"/>
    <mergeCell ref="A14:H14"/>
    <mergeCell ref="A15:H17"/>
    <mergeCell ref="A19:H19"/>
    <mergeCell ref="A20:H22"/>
    <mergeCell ref="A1:H2"/>
    <mergeCell ref="A3:H3"/>
    <mergeCell ref="A5:H5"/>
    <mergeCell ref="A6:H7"/>
    <mergeCell ref="A9:H9"/>
  </mergeCells>
  <pageMargins left="0.25" right="0.25" top="0.75" bottom="0.75" header="0.3" footer="0.3"/>
  <pageSetup scale="9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0"/>
  <sheetViews>
    <sheetView workbookViewId="0"/>
  </sheetViews>
  <sheetFormatPr defaultRowHeight="15" x14ac:dyDescent="0.25"/>
  <cols>
    <col min="1" max="1" width="32" customWidth="1"/>
    <col min="2" max="2" width="48" customWidth="1"/>
    <col min="3" max="3" width="34" customWidth="1"/>
    <col min="4" max="4" width="22" customWidth="1"/>
    <col min="5" max="5" width="16" customWidth="1"/>
    <col min="6" max="6" width="46" customWidth="1"/>
  </cols>
  <sheetData>
    <row r="1" spans="1:6" ht="30" customHeight="1" x14ac:dyDescent="0.25">
      <c r="A1" s="26" t="s">
        <v>31</v>
      </c>
      <c r="B1" s="26" t="s">
        <v>32</v>
      </c>
      <c r="C1" s="26" t="s">
        <v>33</v>
      </c>
      <c r="D1" s="26" t="s">
        <v>0</v>
      </c>
      <c r="E1" s="26" t="s">
        <v>34</v>
      </c>
      <c r="F1" s="26" t="s">
        <v>35</v>
      </c>
    </row>
    <row r="2" spans="1:6" ht="54" customHeight="1" x14ac:dyDescent="0.25">
      <c r="A2" s="27" t="s">
        <v>36</v>
      </c>
      <c r="B2" s="27" t="s">
        <v>37</v>
      </c>
      <c r="C2" s="27" t="s">
        <v>80</v>
      </c>
      <c r="D2" s="28">
        <v>2025</v>
      </c>
      <c r="E2" s="29">
        <v>46233</v>
      </c>
      <c r="F2" s="27" t="s">
        <v>38</v>
      </c>
    </row>
    <row r="3" spans="1:6" ht="54" customHeight="1" x14ac:dyDescent="0.25">
      <c r="A3" s="27" t="s">
        <v>39</v>
      </c>
      <c r="B3" s="27" t="s">
        <v>40</v>
      </c>
      <c r="C3" s="27" t="s">
        <v>41</v>
      </c>
      <c r="D3" s="28">
        <v>2025</v>
      </c>
      <c r="E3" s="29">
        <v>46233</v>
      </c>
      <c r="F3" s="27" t="s">
        <v>42</v>
      </c>
    </row>
    <row r="4" spans="1:6" ht="54" customHeight="1" x14ac:dyDescent="0.25">
      <c r="A4" s="27" t="s">
        <v>39</v>
      </c>
      <c r="B4" s="27" t="s">
        <v>43</v>
      </c>
      <c r="C4" s="27" t="s">
        <v>44</v>
      </c>
      <c r="D4" s="28">
        <v>2025</v>
      </c>
      <c r="E4" s="29">
        <v>46233</v>
      </c>
      <c r="F4" s="27" t="s">
        <v>42</v>
      </c>
    </row>
    <row r="5" spans="1:6" ht="54" customHeight="1" x14ac:dyDescent="0.25">
      <c r="A5" s="27" t="s">
        <v>45</v>
      </c>
      <c r="B5" s="27" t="s">
        <v>46</v>
      </c>
      <c r="C5" s="27" t="s">
        <v>47</v>
      </c>
      <c r="D5" s="28" t="s">
        <v>48</v>
      </c>
      <c r="E5" s="29">
        <v>46234</v>
      </c>
      <c r="F5" s="27" t="s">
        <v>49</v>
      </c>
    </row>
    <row r="6" spans="1:6" ht="54" customHeight="1" x14ac:dyDescent="0.25">
      <c r="A6" s="27" t="s">
        <v>50</v>
      </c>
      <c r="B6" s="27" t="s">
        <v>51</v>
      </c>
      <c r="C6" s="27" t="s">
        <v>52</v>
      </c>
      <c r="D6" s="28" t="s">
        <v>48</v>
      </c>
      <c r="E6" s="29">
        <v>46234</v>
      </c>
      <c r="F6" s="27" t="s">
        <v>53</v>
      </c>
    </row>
    <row r="7" spans="1:6" x14ac:dyDescent="0.25">
      <c r="D7" s="1"/>
      <c r="E7" s="3"/>
    </row>
    <row r="8" spans="1:6" x14ac:dyDescent="0.25">
      <c r="D8" s="1"/>
      <c r="E8" s="3"/>
    </row>
    <row r="9" spans="1:6" x14ac:dyDescent="0.25">
      <c r="D9" s="1"/>
      <c r="E9" s="3"/>
    </row>
    <row r="10" spans="1:6" x14ac:dyDescent="0.25">
      <c r="D10" s="1"/>
      <c r="E10" s="3"/>
    </row>
    <row r="11" spans="1:6" x14ac:dyDescent="0.25">
      <c r="D11" s="1"/>
      <c r="E11" s="3"/>
    </row>
    <row r="12" spans="1:6" x14ac:dyDescent="0.25">
      <c r="D12" s="1"/>
      <c r="E12" s="3"/>
    </row>
    <row r="13" spans="1:6" x14ac:dyDescent="0.25">
      <c r="D13" s="1"/>
      <c r="E13" s="3"/>
    </row>
    <row r="14" spans="1:6" x14ac:dyDescent="0.25">
      <c r="D14" s="1"/>
      <c r="E14" s="3"/>
    </row>
    <row r="15" spans="1:6" x14ac:dyDescent="0.25">
      <c r="D15" s="1"/>
      <c r="E15" s="3"/>
    </row>
    <row r="16" spans="1:6" x14ac:dyDescent="0.25">
      <c r="D16" s="1"/>
      <c r="E16" s="3"/>
    </row>
    <row r="17" spans="4:5" x14ac:dyDescent="0.25">
      <c r="D17" s="1"/>
      <c r="E17" s="3"/>
    </row>
    <row r="18" spans="4:5" x14ac:dyDescent="0.25">
      <c r="D18" s="1"/>
      <c r="E18" s="3"/>
    </row>
    <row r="19" spans="4:5" x14ac:dyDescent="0.25">
      <c r="D19" s="1"/>
      <c r="E19" s="3"/>
    </row>
    <row r="20" spans="4:5" x14ac:dyDescent="0.25">
      <c r="D20" s="1"/>
      <c r="E20" s="3"/>
    </row>
    <row r="21" spans="4:5" x14ac:dyDescent="0.25">
      <c r="D21" s="1"/>
      <c r="E21" s="3"/>
    </row>
    <row r="22" spans="4:5" x14ac:dyDescent="0.25">
      <c r="D22" s="1"/>
      <c r="E22" s="3"/>
    </row>
    <row r="23" spans="4:5" x14ac:dyDescent="0.25">
      <c r="D23" s="1"/>
      <c r="E23" s="3"/>
    </row>
    <row r="24" spans="4:5" x14ac:dyDescent="0.25">
      <c r="D24" s="1"/>
      <c r="E24" s="3"/>
    </row>
    <row r="25" spans="4:5" x14ac:dyDescent="0.25">
      <c r="D25" s="1"/>
      <c r="E25" s="3"/>
    </row>
    <row r="26" spans="4:5" x14ac:dyDescent="0.25">
      <c r="D26" s="1"/>
      <c r="E26" s="3"/>
    </row>
    <row r="27" spans="4:5" x14ac:dyDescent="0.25">
      <c r="D27" s="1"/>
      <c r="E27" s="3"/>
    </row>
    <row r="28" spans="4:5" x14ac:dyDescent="0.25">
      <c r="D28" s="1"/>
      <c r="E28" s="3"/>
    </row>
    <row r="29" spans="4:5" x14ac:dyDescent="0.25">
      <c r="D29" s="1"/>
      <c r="E29" s="3"/>
    </row>
    <row r="30" spans="4:5" x14ac:dyDescent="0.25">
      <c r="D30" s="1"/>
      <c r="E30" s="3"/>
    </row>
    <row r="31" spans="4:5" x14ac:dyDescent="0.25">
      <c r="D31" s="1"/>
      <c r="E31" s="3"/>
    </row>
    <row r="32" spans="4:5" x14ac:dyDescent="0.25">
      <c r="D32" s="1"/>
      <c r="E32" s="3"/>
    </row>
    <row r="33" spans="4:5" x14ac:dyDescent="0.25">
      <c r="D33" s="1"/>
      <c r="E33" s="3"/>
    </row>
    <row r="34" spans="4:5" x14ac:dyDescent="0.25">
      <c r="D34" s="1"/>
      <c r="E34" s="3"/>
    </row>
    <row r="35" spans="4:5" x14ac:dyDescent="0.25">
      <c r="D35" s="1"/>
      <c r="E35" s="3"/>
    </row>
    <row r="36" spans="4:5" x14ac:dyDescent="0.25">
      <c r="D36" s="1"/>
      <c r="E36" s="3"/>
    </row>
    <row r="37" spans="4:5" x14ac:dyDescent="0.25">
      <c r="D37" s="1"/>
      <c r="E37" s="3"/>
    </row>
    <row r="38" spans="4:5" x14ac:dyDescent="0.25">
      <c r="D38" s="1"/>
      <c r="E38" s="3"/>
    </row>
    <row r="39" spans="4:5" x14ac:dyDescent="0.25">
      <c r="D39" s="1"/>
      <c r="E39" s="3"/>
    </row>
    <row r="40" spans="4:5" x14ac:dyDescent="0.25">
      <c r="D40" s="1"/>
      <c r="E40" s="3"/>
    </row>
    <row r="41" spans="4:5" x14ac:dyDescent="0.25">
      <c r="D41" s="1"/>
      <c r="E41" s="3"/>
    </row>
    <row r="42" spans="4:5" x14ac:dyDescent="0.25">
      <c r="D42" s="1"/>
      <c r="E42" s="3"/>
    </row>
    <row r="43" spans="4:5" x14ac:dyDescent="0.25">
      <c r="D43" s="1"/>
      <c r="E43" s="3"/>
    </row>
    <row r="44" spans="4:5" x14ac:dyDescent="0.25">
      <c r="D44" s="1"/>
      <c r="E44" s="3"/>
    </row>
    <row r="45" spans="4:5" x14ac:dyDescent="0.25">
      <c r="D45" s="1"/>
      <c r="E45" s="3"/>
    </row>
    <row r="46" spans="4:5" x14ac:dyDescent="0.25">
      <c r="D46" s="1"/>
      <c r="E46" s="3"/>
    </row>
    <row r="47" spans="4:5" x14ac:dyDescent="0.25">
      <c r="D47" s="1"/>
      <c r="E47" s="3"/>
    </row>
    <row r="48" spans="4:5" x14ac:dyDescent="0.25">
      <c r="D48" s="1"/>
      <c r="E48" s="3"/>
    </row>
    <row r="49" spans="4:5" x14ac:dyDescent="0.25">
      <c r="D49" s="1"/>
      <c r="E49" s="3"/>
    </row>
    <row r="50" spans="4:5" x14ac:dyDescent="0.25">
      <c r="D50" s="1"/>
      <c r="E50" s="3"/>
    </row>
    <row r="51" spans="4:5" x14ac:dyDescent="0.25">
      <c r="D51" s="1"/>
      <c r="E51" s="3"/>
    </row>
    <row r="52" spans="4:5" x14ac:dyDescent="0.25">
      <c r="D52" s="1"/>
      <c r="E52" s="3"/>
    </row>
    <row r="53" spans="4:5" x14ac:dyDescent="0.25">
      <c r="D53" s="1"/>
      <c r="E53" s="3"/>
    </row>
    <row r="54" spans="4:5" x14ac:dyDescent="0.25">
      <c r="D54" s="1"/>
      <c r="E54" s="3"/>
    </row>
    <row r="55" spans="4:5" x14ac:dyDescent="0.25">
      <c r="D55" s="1"/>
      <c r="E55" s="3"/>
    </row>
    <row r="56" spans="4:5" x14ac:dyDescent="0.25">
      <c r="D56" s="1"/>
      <c r="E56" s="3"/>
    </row>
    <row r="57" spans="4:5" x14ac:dyDescent="0.25">
      <c r="D57" s="1"/>
      <c r="E57" s="3"/>
    </row>
    <row r="58" spans="4:5" x14ac:dyDescent="0.25">
      <c r="D58" s="1"/>
      <c r="E58" s="3"/>
    </row>
    <row r="59" spans="4:5" x14ac:dyDescent="0.25">
      <c r="D59" s="1"/>
      <c r="E59" s="3"/>
    </row>
    <row r="60" spans="4:5" x14ac:dyDescent="0.25">
      <c r="D60" s="1"/>
      <c r="E60" s="3"/>
    </row>
    <row r="61" spans="4:5" x14ac:dyDescent="0.25">
      <c r="D61" s="1"/>
      <c r="E61" s="3"/>
    </row>
    <row r="62" spans="4:5" x14ac:dyDescent="0.25">
      <c r="D62" s="1"/>
      <c r="E62" s="3"/>
    </row>
    <row r="63" spans="4:5" x14ac:dyDescent="0.25">
      <c r="D63" s="1"/>
      <c r="E63" s="3"/>
    </row>
    <row r="64" spans="4:5" x14ac:dyDescent="0.25">
      <c r="D64" s="1"/>
      <c r="E64" s="3"/>
    </row>
    <row r="65" spans="4:5" x14ac:dyDescent="0.25">
      <c r="D65" s="1"/>
      <c r="E65" s="3"/>
    </row>
    <row r="66" spans="4:5" x14ac:dyDescent="0.25">
      <c r="D66" s="1"/>
      <c r="E66" s="3"/>
    </row>
    <row r="67" spans="4:5" x14ac:dyDescent="0.25">
      <c r="D67" s="1"/>
      <c r="E67" s="3"/>
    </row>
    <row r="68" spans="4:5" x14ac:dyDescent="0.25">
      <c r="D68" s="1"/>
      <c r="E68" s="3"/>
    </row>
    <row r="69" spans="4:5" x14ac:dyDescent="0.25">
      <c r="D69" s="1"/>
      <c r="E69" s="3"/>
    </row>
    <row r="70" spans="4:5" x14ac:dyDescent="0.25">
      <c r="D70" s="1"/>
      <c r="E70" s="3"/>
    </row>
    <row r="71" spans="4:5" x14ac:dyDescent="0.25">
      <c r="D71" s="1"/>
      <c r="E71" s="3"/>
    </row>
    <row r="72" spans="4:5" x14ac:dyDescent="0.25">
      <c r="D72" s="1"/>
      <c r="E72" s="3"/>
    </row>
    <row r="73" spans="4:5" x14ac:dyDescent="0.25">
      <c r="D73" s="1"/>
      <c r="E73" s="3"/>
    </row>
    <row r="74" spans="4:5" x14ac:dyDescent="0.25">
      <c r="D74" s="1"/>
      <c r="E74" s="3"/>
    </row>
    <row r="75" spans="4:5" x14ac:dyDescent="0.25">
      <c r="D75" s="1"/>
      <c r="E75" s="3"/>
    </row>
    <row r="76" spans="4:5" x14ac:dyDescent="0.25">
      <c r="D76" s="1"/>
      <c r="E76" s="3"/>
    </row>
    <row r="77" spans="4:5" x14ac:dyDescent="0.25">
      <c r="D77" s="1"/>
      <c r="E77" s="3"/>
    </row>
    <row r="78" spans="4:5" x14ac:dyDescent="0.25">
      <c r="D78" s="1"/>
      <c r="E78" s="3"/>
    </row>
    <row r="79" spans="4:5" x14ac:dyDescent="0.25">
      <c r="D79" s="1"/>
      <c r="E79" s="3"/>
    </row>
    <row r="80" spans="4:5" x14ac:dyDescent="0.25">
      <c r="D80" s="1"/>
      <c r="E80" s="3"/>
    </row>
    <row r="81" spans="4:5" x14ac:dyDescent="0.25">
      <c r="D81" s="1"/>
      <c r="E81" s="3"/>
    </row>
    <row r="82" spans="4:5" x14ac:dyDescent="0.25">
      <c r="D82" s="1"/>
      <c r="E82" s="3"/>
    </row>
    <row r="83" spans="4:5" x14ac:dyDescent="0.25">
      <c r="D83" s="1"/>
      <c r="E83" s="3"/>
    </row>
    <row r="84" spans="4:5" x14ac:dyDescent="0.25">
      <c r="D84" s="1"/>
      <c r="E84" s="3"/>
    </row>
    <row r="85" spans="4:5" x14ac:dyDescent="0.25">
      <c r="D85" s="1"/>
      <c r="E85" s="3"/>
    </row>
    <row r="86" spans="4:5" x14ac:dyDescent="0.25">
      <c r="D86" s="1"/>
      <c r="E86" s="3"/>
    </row>
    <row r="87" spans="4:5" x14ac:dyDescent="0.25">
      <c r="D87" s="1"/>
      <c r="E87" s="3"/>
    </row>
    <row r="88" spans="4:5" x14ac:dyDescent="0.25">
      <c r="D88" s="1"/>
      <c r="E88" s="3"/>
    </row>
    <row r="89" spans="4:5" x14ac:dyDescent="0.25">
      <c r="D89" s="1"/>
      <c r="E89" s="3"/>
    </row>
    <row r="90" spans="4:5" x14ac:dyDescent="0.25">
      <c r="D90" s="1"/>
      <c r="E90" s="3"/>
    </row>
    <row r="91" spans="4:5" x14ac:dyDescent="0.25">
      <c r="D91" s="1"/>
      <c r="E91" s="3"/>
    </row>
    <row r="92" spans="4:5" x14ac:dyDescent="0.25">
      <c r="D92" s="1"/>
      <c r="E92" s="3"/>
    </row>
    <row r="93" spans="4:5" x14ac:dyDescent="0.25">
      <c r="D93" s="1"/>
      <c r="E93" s="3"/>
    </row>
    <row r="94" spans="4:5" x14ac:dyDescent="0.25">
      <c r="D94" s="1"/>
      <c r="E94" s="3"/>
    </row>
    <row r="95" spans="4:5" x14ac:dyDescent="0.25">
      <c r="D95" s="1"/>
      <c r="E95" s="3"/>
    </row>
    <row r="96" spans="4:5" x14ac:dyDescent="0.25">
      <c r="D96" s="1"/>
      <c r="E96" s="3"/>
    </row>
    <row r="97" spans="4:5" x14ac:dyDescent="0.25">
      <c r="D97" s="1"/>
      <c r="E97" s="3"/>
    </row>
    <row r="98" spans="4:5" x14ac:dyDescent="0.25">
      <c r="D98" s="1"/>
      <c r="E98" s="3"/>
    </row>
    <row r="99" spans="4:5" x14ac:dyDescent="0.25">
      <c r="D99" s="1"/>
      <c r="E99" s="3"/>
    </row>
    <row r="100" spans="4:5" x14ac:dyDescent="0.25">
      <c r="D100" s="1"/>
      <c r="E100" s="3"/>
    </row>
    <row r="101" spans="4:5" x14ac:dyDescent="0.25">
      <c r="D101" s="1"/>
      <c r="E101" s="3"/>
    </row>
    <row r="102" spans="4:5" x14ac:dyDescent="0.25">
      <c r="D102" s="1"/>
      <c r="E102" s="3"/>
    </row>
    <row r="103" spans="4:5" x14ac:dyDescent="0.25">
      <c r="D103" s="1"/>
      <c r="E103" s="3"/>
    </row>
    <row r="104" spans="4:5" x14ac:dyDescent="0.25">
      <c r="D104" s="1"/>
      <c r="E104" s="3"/>
    </row>
    <row r="105" spans="4:5" x14ac:dyDescent="0.25">
      <c r="D105" s="1"/>
      <c r="E105" s="3"/>
    </row>
    <row r="106" spans="4:5" x14ac:dyDescent="0.25">
      <c r="D106" s="1"/>
      <c r="E106" s="3"/>
    </row>
    <row r="107" spans="4:5" x14ac:dyDescent="0.25">
      <c r="D107" s="1"/>
      <c r="E107" s="3"/>
    </row>
    <row r="108" spans="4:5" x14ac:dyDescent="0.25">
      <c r="D108" s="1"/>
      <c r="E108" s="3"/>
    </row>
    <row r="109" spans="4:5" x14ac:dyDescent="0.25">
      <c r="D109" s="1"/>
      <c r="E109" s="3"/>
    </row>
    <row r="110" spans="4:5" x14ac:dyDescent="0.25">
      <c r="D110" s="1"/>
      <c r="E110" s="3"/>
    </row>
    <row r="111" spans="4:5" x14ac:dyDescent="0.25">
      <c r="D111" s="1"/>
      <c r="E111" s="3"/>
    </row>
    <row r="112" spans="4:5" x14ac:dyDescent="0.25">
      <c r="D112" s="1"/>
      <c r="E112" s="3"/>
    </row>
    <row r="113" spans="4:5" x14ac:dyDescent="0.25">
      <c r="D113" s="1"/>
      <c r="E113" s="3"/>
    </row>
    <row r="114" spans="4:5" x14ac:dyDescent="0.25">
      <c r="D114" s="1"/>
      <c r="E114" s="3"/>
    </row>
    <row r="115" spans="4:5" x14ac:dyDescent="0.25">
      <c r="D115" s="1"/>
      <c r="E115" s="3"/>
    </row>
    <row r="116" spans="4:5" x14ac:dyDescent="0.25">
      <c r="D116" s="1"/>
      <c r="E116" s="3"/>
    </row>
    <row r="117" spans="4:5" x14ac:dyDescent="0.25">
      <c r="D117" s="1"/>
      <c r="E117" s="3"/>
    </row>
    <row r="118" spans="4:5" x14ac:dyDescent="0.25">
      <c r="D118" s="1"/>
      <c r="E118" s="3"/>
    </row>
    <row r="119" spans="4:5" x14ac:dyDescent="0.25">
      <c r="D119" s="1"/>
      <c r="E119" s="3"/>
    </row>
    <row r="120" spans="4:5" x14ac:dyDescent="0.25">
      <c r="D120" s="1"/>
      <c r="E120" s="3"/>
    </row>
    <row r="121" spans="4:5" x14ac:dyDescent="0.25">
      <c r="D121" s="1"/>
      <c r="E121" s="3"/>
    </row>
    <row r="122" spans="4:5" x14ac:dyDescent="0.25">
      <c r="D122" s="1"/>
      <c r="E122" s="3"/>
    </row>
    <row r="123" spans="4:5" x14ac:dyDescent="0.25">
      <c r="D123" s="1"/>
      <c r="E123" s="3"/>
    </row>
    <row r="124" spans="4:5" x14ac:dyDescent="0.25">
      <c r="D124" s="1"/>
      <c r="E124" s="3"/>
    </row>
    <row r="125" spans="4:5" x14ac:dyDescent="0.25">
      <c r="D125" s="1"/>
      <c r="E125" s="3"/>
    </row>
    <row r="126" spans="4:5" x14ac:dyDescent="0.25">
      <c r="D126" s="1"/>
      <c r="E126" s="3"/>
    </row>
    <row r="127" spans="4:5" x14ac:dyDescent="0.25">
      <c r="D127" s="1"/>
      <c r="E127" s="3"/>
    </row>
    <row r="128" spans="4:5" x14ac:dyDescent="0.25">
      <c r="D128" s="1"/>
      <c r="E128" s="3"/>
    </row>
    <row r="129" spans="4:5" x14ac:dyDescent="0.25">
      <c r="D129" s="1"/>
      <c r="E129" s="3"/>
    </row>
    <row r="130" spans="4:5" x14ac:dyDescent="0.25">
      <c r="D130" s="1"/>
      <c r="E130" s="3"/>
    </row>
    <row r="131" spans="4:5" x14ac:dyDescent="0.25">
      <c r="D131" s="1"/>
      <c r="E131" s="3"/>
    </row>
    <row r="132" spans="4:5" x14ac:dyDescent="0.25">
      <c r="D132" s="1"/>
      <c r="E132" s="3"/>
    </row>
    <row r="133" spans="4:5" x14ac:dyDescent="0.25">
      <c r="D133" s="1"/>
      <c r="E133" s="3"/>
    </row>
    <row r="134" spans="4:5" x14ac:dyDescent="0.25">
      <c r="D134" s="1"/>
      <c r="E134" s="3"/>
    </row>
    <row r="135" spans="4:5" x14ac:dyDescent="0.25">
      <c r="D135" s="1"/>
      <c r="E135" s="3"/>
    </row>
    <row r="136" spans="4:5" x14ac:dyDescent="0.25">
      <c r="D136" s="1"/>
      <c r="E136" s="3"/>
    </row>
    <row r="137" spans="4:5" x14ac:dyDescent="0.25">
      <c r="D137" s="1"/>
      <c r="E137" s="3"/>
    </row>
    <row r="138" spans="4:5" x14ac:dyDescent="0.25">
      <c r="D138" s="1"/>
      <c r="E138" s="3"/>
    </row>
    <row r="139" spans="4:5" x14ac:dyDescent="0.25">
      <c r="D139" s="1"/>
      <c r="E139" s="3"/>
    </row>
    <row r="140" spans="4:5" x14ac:dyDescent="0.25">
      <c r="D140" s="1"/>
      <c r="E140" s="3"/>
    </row>
    <row r="141" spans="4:5" x14ac:dyDescent="0.25">
      <c r="D141" s="1"/>
      <c r="E141" s="3"/>
    </row>
    <row r="142" spans="4:5" x14ac:dyDescent="0.25">
      <c r="D142" s="1"/>
      <c r="E142" s="3"/>
    </row>
    <row r="143" spans="4:5" x14ac:dyDescent="0.25">
      <c r="D143" s="1"/>
      <c r="E143" s="3"/>
    </row>
    <row r="144" spans="4:5" x14ac:dyDescent="0.25">
      <c r="D144" s="1"/>
      <c r="E144" s="3"/>
    </row>
    <row r="145" spans="4:5" x14ac:dyDescent="0.25">
      <c r="D145" s="1"/>
      <c r="E145" s="3"/>
    </row>
    <row r="146" spans="4:5" x14ac:dyDescent="0.25">
      <c r="D146" s="1"/>
      <c r="E146" s="3"/>
    </row>
    <row r="147" spans="4:5" x14ac:dyDescent="0.25">
      <c r="D147" s="1"/>
      <c r="E147" s="3"/>
    </row>
    <row r="148" spans="4:5" x14ac:dyDescent="0.25">
      <c r="D148" s="1"/>
      <c r="E148" s="3"/>
    </row>
    <row r="149" spans="4:5" x14ac:dyDescent="0.25">
      <c r="D149" s="1"/>
      <c r="E149" s="3"/>
    </row>
    <row r="150" spans="4:5" x14ac:dyDescent="0.25">
      <c r="D150" s="1"/>
      <c r="E150" s="3"/>
    </row>
    <row r="151" spans="4:5" x14ac:dyDescent="0.25">
      <c r="D151" s="1"/>
      <c r="E151" s="3"/>
    </row>
    <row r="152" spans="4:5" x14ac:dyDescent="0.25">
      <c r="D152" s="1"/>
      <c r="E152" s="3"/>
    </row>
    <row r="153" spans="4:5" x14ac:dyDescent="0.25">
      <c r="D153" s="1"/>
      <c r="E153" s="3"/>
    </row>
    <row r="154" spans="4:5" x14ac:dyDescent="0.25">
      <c r="D154" s="1"/>
      <c r="E154" s="3"/>
    </row>
    <row r="155" spans="4:5" x14ac:dyDescent="0.25">
      <c r="D155" s="1"/>
      <c r="E155" s="3"/>
    </row>
    <row r="156" spans="4:5" x14ac:dyDescent="0.25">
      <c r="D156" s="1"/>
      <c r="E156" s="3"/>
    </row>
    <row r="157" spans="4:5" x14ac:dyDescent="0.25">
      <c r="D157" s="1"/>
      <c r="E157" s="3"/>
    </row>
    <row r="158" spans="4:5" x14ac:dyDescent="0.25">
      <c r="D158" s="1"/>
      <c r="E158" s="3"/>
    </row>
    <row r="159" spans="4:5" x14ac:dyDescent="0.25">
      <c r="D159" s="1"/>
      <c r="E159" s="3"/>
    </row>
    <row r="160" spans="4:5" x14ac:dyDescent="0.25">
      <c r="D160" s="1"/>
      <c r="E160" s="3"/>
    </row>
    <row r="161" spans="4:5" x14ac:dyDescent="0.25">
      <c r="D161" s="1"/>
      <c r="E161" s="3"/>
    </row>
    <row r="162" spans="4:5" x14ac:dyDescent="0.25">
      <c r="D162" s="1"/>
      <c r="E162" s="3"/>
    </row>
    <row r="163" spans="4:5" x14ac:dyDescent="0.25">
      <c r="D163" s="1"/>
      <c r="E163" s="3"/>
    </row>
    <row r="164" spans="4:5" x14ac:dyDescent="0.25">
      <c r="D164" s="1"/>
      <c r="E164" s="3"/>
    </row>
    <row r="165" spans="4:5" x14ac:dyDescent="0.25">
      <c r="D165" s="1"/>
      <c r="E165" s="3"/>
    </row>
    <row r="166" spans="4:5" x14ac:dyDescent="0.25">
      <c r="D166" s="1"/>
      <c r="E166" s="3"/>
    </row>
    <row r="167" spans="4:5" x14ac:dyDescent="0.25">
      <c r="D167" s="1"/>
      <c r="E167" s="3"/>
    </row>
    <row r="168" spans="4:5" x14ac:dyDescent="0.25">
      <c r="D168" s="1"/>
      <c r="E168" s="3"/>
    </row>
    <row r="169" spans="4:5" x14ac:dyDescent="0.25">
      <c r="D169" s="1"/>
      <c r="E169" s="3"/>
    </row>
    <row r="170" spans="4:5" x14ac:dyDescent="0.25">
      <c r="D170" s="1"/>
      <c r="E170" s="3"/>
    </row>
    <row r="171" spans="4:5" x14ac:dyDescent="0.25">
      <c r="D171" s="1"/>
      <c r="E171" s="3"/>
    </row>
    <row r="172" spans="4:5" x14ac:dyDescent="0.25">
      <c r="D172" s="1"/>
      <c r="E172" s="3"/>
    </row>
    <row r="173" spans="4:5" x14ac:dyDescent="0.25">
      <c r="D173" s="1"/>
      <c r="E173" s="3"/>
    </row>
    <row r="174" spans="4:5" x14ac:dyDescent="0.25">
      <c r="D174" s="1"/>
      <c r="E174" s="3"/>
    </row>
    <row r="175" spans="4:5" x14ac:dyDescent="0.25">
      <c r="D175" s="1"/>
      <c r="E175" s="3"/>
    </row>
    <row r="176" spans="4:5" x14ac:dyDescent="0.25">
      <c r="D176" s="1"/>
      <c r="E176" s="3"/>
    </row>
    <row r="177" spans="4:5" x14ac:dyDescent="0.25">
      <c r="D177" s="1"/>
      <c r="E177" s="3"/>
    </row>
    <row r="178" spans="4:5" x14ac:dyDescent="0.25">
      <c r="D178" s="1"/>
      <c r="E178" s="3"/>
    </row>
    <row r="179" spans="4:5" x14ac:dyDescent="0.25">
      <c r="D179" s="1"/>
      <c r="E179" s="3"/>
    </row>
    <row r="180" spans="4:5" x14ac:dyDescent="0.25">
      <c r="D180" s="1"/>
      <c r="E180" s="3"/>
    </row>
    <row r="181" spans="4:5" x14ac:dyDescent="0.25">
      <c r="D181" s="1"/>
      <c r="E181" s="3"/>
    </row>
    <row r="182" spans="4:5" x14ac:dyDescent="0.25">
      <c r="D182" s="1"/>
      <c r="E182" s="3"/>
    </row>
    <row r="183" spans="4:5" x14ac:dyDescent="0.25">
      <c r="D183" s="1"/>
      <c r="E183" s="3"/>
    </row>
    <row r="184" spans="4:5" x14ac:dyDescent="0.25">
      <c r="D184" s="1"/>
      <c r="E184" s="3"/>
    </row>
    <row r="185" spans="4:5" x14ac:dyDescent="0.25">
      <c r="D185" s="1"/>
      <c r="E185" s="3"/>
    </row>
    <row r="186" spans="4:5" x14ac:dyDescent="0.25">
      <c r="D186" s="1"/>
      <c r="E186" s="3"/>
    </row>
    <row r="187" spans="4:5" x14ac:dyDescent="0.25">
      <c r="D187" s="1"/>
      <c r="E187" s="3"/>
    </row>
    <row r="188" spans="4:5" x14ac:dyDescent="0.25">
      <c r="D188" s="1"/>
      <c r="E188" s="3"/>
    </row>
    <row r="189" spans="4:5" x14ac:dyDescent="0.25">
      <c r="D189" s="1"/>
      <c r="E189" s="3"/>
    </row>
    <row r="190" spans="4:5" x14ac:dyDescent="0.25">
      <c r="D190" s="1"/>
      <c r="E190" s="3"/>
    </row>
    <row r="191" spans="4:5" x14ac:dyDescent="0.25">
      <c r="D191" s="1"/>
      <c r="E191" s="3"/>
    </row>
    <row r="192" spans="4:5" x14ac:dyDescent="0.25">
      <c r="D192" s="1"/>
      <c r="E192" s="3"/>
    </row>
    <row r="193" spans="4:5" x14ac:dyDescent="0.25">
      <c r="D193" s="1"/>
      <c r="E193" s="3"/>
    </row>
    <row r="194" spans="4:5" x14ac:dyDescent="0.25">
      <c r="D194" s="1"/>
      <c r="E194" s="3"/>
    </row>
    <row r="195" spans="4:5" x14ac:dyDescent="0.25">
      <c r="D195" s="1"/>
      <c r="E195" s="3"/>
    </row>
    <row r="196" spans="4:5" x14ac:dyDescent="0.25">
      <c r="D196" s="1"/>
      <c r="E196" s="3"/>
    </row>
    <row r="197" spans="4:5" x14ac:dyDescent="0.25">
      <c r="D197" s="1"/>
      <c r="E197" s="3"/>
    </row>
    <row r="198" spans="4:5" x14ac:dyDescent="0.25">
      <c r="D198" s="1"/>
      <c r="E198" s="3"/>
    </row>
    <row r="199" spans="4:5" x14ac:dyDescent="0.25">
      <c r="D199" s="1"/>
      <c r="E199" s="3"/>
    </row>
    <row r="200" spans="4:5" x14ac:dyDescent="0.25">
      <c r="D200" s="1"/>
      <c r="E200"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Calculations</vt:lpstr>
      <vt:lpstr>Chart Data</vt:lpstr>
      <vt:lpstr>Dashboard</vt:lpstr>
      <vt:lpstr>Executive Summary</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Mustafa Syed</cp:lastModifiedBy>
  <cp:lastPrinted>2026-07-31T20:01:18Z</cp:lastPrinted>
  <dcterms:created xsi:type="dcterms:W3CDTF">2026-07-31T20:04:44Z</dcterms:created>
  <dcterms:modified xsi:type="dcterms:W3CDTF">2026-07-31T20:04:44Z</dcterms:modified>
</cp:coreProperties>
</file>